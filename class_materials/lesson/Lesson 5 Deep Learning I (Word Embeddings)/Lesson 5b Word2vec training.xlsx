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entropy loss" sheetId="1" r:id="rId5"/>
    <sheet state="visible" name="Binary loss" sheetId="2" r:id="rId6"/>
  </sheets>
  <definedNames/>
  <calcPr/>
</workbook>
</file>

<file path=xl/sharedStrings.xml><?xml version="1.0" encoding="utf-8"?>
<sst xmlns="http://schemas.openxmlformats.org/spreadsheetml/2006/main" count="138" uniqueCount="27">
  <si>
    <t>U</t>
  </si>
  <si>
    <t>ขึ้น</t>
  </si>
  <si>
    <t>คง</t>
  </si>
  <si>
    <t>จะ</t>
  </si>
  <si>
    <t>ใน</t>
  </si>
  <si>
    <t>บน</t>
  </si>
  <si>
    <t>ฝุ่น</t>
  </si>
  <si>
    <t>ร้ายแรง</t>
  </si>
  <si>
    <t>ฤดูร้อน</t>
  </si>
  <si>
    <t>ฤดูหนาว</t>
  </si>
  <si>
    <t>ลง</t>
  </si>
  <si>
    <t>วิกฤติ</t>
  </si>
  <si>
    <t>หมอก</t>
  </si>
  <si>
    <t>Input</t>
  </si>
  <si>
    <t>Label</t>
  </si>
  <si>
    <t>V</t>
  </si>
  <si>
    <t>Ut</t>
  </si>
  <si>
    <t>Score</t>
  </si>
  <si>
    <t>exp(score)</t>
  </si>
  <si>
    <t>prob(c|วิกฤต)</t>
  </si>
  <si>
    <t>truth</t>
  </si>
  <si>
    <t>logP</t>
  </si>
  <si>
    <t>error</t>
  </si>
  <si>
    <t>sum</t>
  </si>
  <si>
    <t>context</t>
  </si>
  <si>
    <t>label</t>
  </si>
  <si>
    <t>sigmoid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</si>
</sst>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b/>
      <sz val="13.0"/>
      <color rgb="FF38761D"/>
      <name val="&quot;Helvetica Neue&quot;"/>
    </font>
    <font>
      <b/>
      <sz val="13.0"/>
      <color rgb="FF4FA853"/>
      <name val="&quot;Helvetica Neue&quot;"/>
    </font>
    <font>
      <b/>
      <sz val="13.0"/>
      <color rgb="FFF14D85"/>
      <name val="&quot;Helvetica Neue&quot;"/>
    </font>
    <font>
      <sz val="13.0"/>
      <color rgb="FF595959"/>
      <name val="&quot;Helvetica Neue&quot;"/>
    </font>
    <font>
      <sz val="13.0"/>
      <color rgb="FF595959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0" fillId="0" fontId="1" numFmtId="164" xfId="0" applyFont="1" applyNumberFormat="1"/>
    <xf borderId="1" fillId="0" fontId="0" numFmtId="0" xfId="0" applyAlignment="1" applyBorder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.13"/>
    <col customWidth="1" min="3" max="6" width="3.88"/>
    <col customWidth="1" min="7" max="7" width="4.63"/>
    <col customWidth="1" min="8" max="8" width="7.5"/>
    <col customWidth="1" min="9" max="10" width="7.0"/>
    <col customWidth="1" min="11" max="11" width="6.63"/>
    <col customWidth="1" min="12" max="12" width="6.25"/>
    <col customWidth="1" min="13" max="13" width="6.63"/>
    <col customWidth="1" min="14" max="14" width="3.88"/>
    <col customWidth="1" min="15" max="15" width="7.13"/>
    <col customWidth="1" min="16" max="16" width="3.63"/>
    <col customWidth="1" min="17" max="17" width="6.75"/>
    <col customWidth="1" min="18" max="18" width="8.5"/>
    <col customWidth="1" min="19" max="19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Q1" s="4" t="s">
        <v>13</v>
      </c>
      <c r="R1" s="4" t="s">
        <v>14</v>
      </c>
    </row>
    <row r="2">
      <c r="B2" s="5">
        <v>0.7</v>
      </c>
      <c r="C2" s="5">
        <v>0.3267707742549435</v>
      </c>
      <c r="D2" s="5">
        <v>-0.6656587930330755</v>
      </c>
      <c r="E2" s="5">
        <v>-0.32727708312836845</v>
      </c>
      <c r="F2" s="5">
        <v>-0.5101944142748138</v>
      </c>
      <c r="G2" s="5">
        <v>0.366376359937556</v>
      </c>
      <c r="H2" s="5">
        <v>-0.17900007418800312</v>
      </c>
      <c r="I2" s="5">
        <v>-0.13675244436035516</v>
      </c>
      <c r="J2" s="5">
        <v>-0.4516685737542314</v>
      </c>
      <c r="K2" s="5">
        <v>-0.32996139991599094</v>
      </c>
      <c r="L2" s="5">
        <v>0.8456879235225763</v>
      </c>
      <c r="M2" s="5">
        <v>-0.7171548568958417</v>
      </c>
      <c r="Q2" s="6" t="s">
        <v>11</v>
      </c>
      <c r="R2" s="6" t="s">
        <v>4</v>
      </c>
    </row>
    <row r="3">
      <c r="B3" s="5">
        <v>-0.3237201369071032</v>
      </c>
      <c r="C3" s="5">
        <v>0.43695321346654037</v>
      </c>
      <c r="D3" s="5">
        <v>0.2001187391434931</v>
      </c>
      <c r="E3" s="5">
        <v>0.45405269438470164</v>
      </c>
      <c r="F3" s="5">
        <v>-0.014946439847166815</v>
      </c>
      <c r="G3" s="5">
        <v>0.7606676665563326</v>
      </c>
      <c r="H3" s="5">
        <v>-0.30267260446237754</v>
      </c>
      <c r="I3" s="5">
        <v>0.01391468419234232</v>
      </c>
      <c r="J3" s="5">
        <v>-0.4900610421688165</v>
      </c>
      <c r="K3" s="5">
        <v>-0.13444160248016535</v>
      </c>
      <c r="L3" s="5">
        <v>-0.2409664149440629</v>
      </c>
      <c r="M3" s="5">
        <v>0.41218460285508685</v>
      </c>
      <c r="Q3" s="6" t="s">
        <v>11</v>
      </c>
      <c r="R3" s="6" t="s">
        <v>9</v>
      </c>
    </row>
    <row r="4">
      <c r="B4" s="5">
        <v>-0.707320628699271</v>
      </c>
      <c r="C4" s="5">
        <v>-0.46113297515977947</v>
      </c>
      <c r="D4" s="5">
        <v>-0.8334646312704037</v>
      </c>
      <c r="E4" s="5">
        <v>0.417908831969811</v>
      </c>
      <c r="F4" s="5">
        <v>-0.1978306916142214</v>
      </c>
      <c r="G4" s="5">
        <v>0.6563048516270926</v>
      </c>
      <c r="H4" s="5">
        <v>-0.8275402324565242</v>
      </c>
      <c r="I4" s="5">
        <v>-0.6900582942466007</v>
      </c>
      <c r="J4" s="5">
        <v>0.03219855811508143</v>
      </c>
      <c r="K4" s="5">
        <v>-0.9550599063107934</v>
      </c>
      <c r="L4" s="5">
        <v>-0.5304746311744146</v>
      </c>
      <c r="M4" s="5">
        <v>0.003894286917247136</v>
      </c>
      <c r="Q4" s="6" t="s">
        <v>11</v>
      </c>
      <c r="R4" s="6" t="s">
        <v>6</v>
      </c>
    </row>
    <row r="5">
      <c r="B5" s="5">
        <v>0.19525216313636196</v>
      </c>
      <c r="C5" s="5">
        <v>0.8352833428986102</v>
      </c>
      <c r="D5" s="5">
        <v>0.8737994117587209</v>
      </c>
      <c r="E5" s="5">
        <v>0.3074729042857478</v>
      </c>
      <c r="F5" s="5">
        <v>0.5739509767327202</v>
      </c>
      <c r="G5" s="5">
        <v>-0.07480827511445409</v>
      </c>
      <c r="H5" s="5">
        <v>0.0037605251054804167</v>
      </c>
      <c r="I5" s="5">
        <v>0.998115174688502</v>
      </c>
      <c r="J5" s="5">
        <v>-0.20320472962951786</v>
      </c>
      <c r="K5" s="5">
        <v>-0.7885863991064732</v>
      </c>
      <c r="L5" s="5">
        <v>0.7228068475169638</v>
      </c>
      <c r="M5" s="5">
        <v>0.48128627928411816</v>
      </c>
      <c r="Q5" s="6" t="s">
        <v>11</v>
      </c>
      <c r="R5" s="6" t="s">
        <v>3</v>
      </c>
    </row>
    <row r="6">
      <c r="Q6" s="6" t="s">
        <v>6</v>
      </c>
      <c r="R6" s="6" t="s">
        <v>9</v>
      </c>
    </row>
    <row r="7">
      <c r="A7" s="1" t="s">
        <v>15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3"/>
      <c r="Q7" s="6" t="s">
        <v>6</v>
      </c>
      <c r="R7" s="6" t="s">
        <v>11</v>
      </c>
    </row>
    <row r="8">
      <c r="B8" s="5">
        <v>0.2</v>
      </c>
      <c r="C8" s="5">
        <v>0.1</v>
      </c>
      <c r="D8" s="5">
        <v>-0.8</v>
      </c>
      <c r="E8" s="5">
        <v>0.7</v>
      </c>
      <c r="F8" s="5">
        <v>-0.9</v>
      </c>
      <c r="G8" s="5">
        <v>0.4</v>
      </c>
      <c r="H8" s="5">
        <v>0.9</v>
      </c>
      <c r="I8" s="5">
        <v>-0.6</v>
      </c>
      <c r="J8" s="5">
        <v>-0.9</v>
      </c>
      <c r="K8" s="5">
        <v>0.5</v>
      </c>
      <c r="L8" s="5">
        <v>-0.2</v>
      </c>
      <c r="M8" s="5">
        <v>-1.0</v>
      </c>
      <c r="Q8" s="6" t="s">
        <v>6</v>
      </c>
      <c r="R8" s="6" t="s">
        <v>3</v>
      </c>
    </row>
    <row r="9">
      <c r="B9" s="5">
        <v>0.4</v>
      </c>
      <c r="C9" s="5">
        <v>1.0</v>
      </c>
      <c r="D9" s="5">
        <v>0.1</v>
      </c>
      <c r="E9" s="5">
        <v>0.7</v>
      </c>
      <c r="F9" s="5">
        <v>-0.1</v>
      </c>
      <c r="G9" s="5">
        <v>-0.6</v>
      </c>
      <c r="H9" s="5">
        <v>0.8</v>
      </c>
      <c r="I9" s="5">
        <v>0.4</v>
      </c>
      <c r="J9" s="5">
        <v>0.5</v>
      </c>
      <c r="K9" s="5">
        <v>-0.6</v>
      </c>
      <c r="L9" s="5">
        <v>0.3</v>
      </c>
      <c r="M9" s="5">
        <v>-0.2</v>
      </c>
      <c r="Q9" s="6" t="s">
        <v>6</v>
      </c>
      <c r="R9" s="6" t="s">
        <v>7</v>
      </c>
    </row>
    <row r="10">
      <c r="B10" s="5">
        <v>-0.1</v>
      </c>
      <c r="C10" s="5">
        <v>0.2</v>
      </c>
      <c r="D10" s="5">
        <v>0.0</v>
      </c>
      <c r="E10" s="5">
        <v>0.2</v>
      </c>
      <c r="F10" s="5">
        <v>0.0</v>
      </c>
      <c r="G10" s="5">
        <v>0.1</v>
      </c>
      <c r="H10" s="5">
        <v>-0.8</v>
      </c>
      <c r="I10" s="5">
        <v>0.8</v>
      </c>
      <c r="J10" s="5">
        <v>0.0</v>
      </c>
      <c r="K10" s="5">
        <v>0.0</v>
      </c>
      <c r="L10" s="5">
        <v>0.0</v>
      </c>
      <c r="M10" s="5">
        <v>-0.7</v>
      </c>
      <c r="Q10" s="6" t="s">
        <v>3</v>
      </c>
      <c r="R10" s="6" t="s">
        <v>11</v>
      </c>
    </row>
    <row r="11">
      <c r="B11" s="5">
        <v>0.1</v>
      </c>
      <c r="C11" s="5">
        <v>-0.1</v>
      </c>
      <c r="D11" s="5">
        <v>0.9</v>
      </c>
      <c r="E11" s="5">
        <v>0.7</v>
      </c>
      <c r="F11" s="5">
        <v>-0.2</v>
      </c>
      <c r="G11" s="5">
        <v>0.9</v>
      </c>
      <c r="H11" s="5">
        <v>0.8</v>
      </c>
      <c r="I11" s="5">
        <v>0.7</v>
      </c>
      <c r="J11" s="5">
        <v>-0.7</v>
      </c>
      <c r="K11" s="5">
        <v>0.3</v>
      </c>
      <c r="L11" s="5">
        <v>0.2</v>
      </c>
      <c r="M11" s="5">
        <v>-0.6</v>
      </c>
      <c r="Q11" s="6" t="s">
        <v>3</v>
      </c>
      <c r="R11" s="6" t="s">
        <v>6</v>
      </c>
    </row>
    <row r="12">
      <c r="Q12" s="6" t="s">
        <v>3</v>
      </c>
      <c r="R12" s="6" t="s">
        <v>7</v>
      </c>
    </row>
    <row r="13">
      <c r="Q13" s="6" t="s">
        <v>3</v>
      </c>
      <c r="R13" s="6" t="s">
        <v>1</v>
      </c>
    </row>
    <row r="14">
      <c r="A14" s="1"/>
      <c r="G14" s="2"/>
      <c r="I14" s="1"/>
      <c r="K14" s="1"/>
      <c r="M14" s="1"/>
      <c r="O14" s="1"/>
    </row>
    <row r="15">
      <c r="A15" s="1" t="s">
        <v>16</v>
      </c>
      <c r="G15" s="2" t="s">
        <v>11</v>
      </c>
      <c r="I15" s="1" t="s">
        <v>17</v>
      </c>
      <c r="K15" s="1" t="s">
        <v>18</v>
      </c>
      <c r="M15" s="1" t="s">
        <v>19</v>
      </c>
      <c r="O15" s="1" t="s">
        <v>20</v>
      </c>
      <c r="Q15" s="1" t="s">
        <v>21</v>
      </c>
      <c r="R15" s="1" t="s">
        <v>22</v>
      </c>
    </row>
    <row r="16">
      <c r="A16" s="2" t="s">
        <v>1</v>
      </c>
      <c r="B16" s="5">
        <v>0.7</v>
      </c>
      <c r="C16" s="5">
        <v>-0.3237201369071032</v>
      </c>
      <c r="D16" s="5">
        <v>-0.707320628699271</v>
      </c>
      <c r="E16" s="5">
        <v>0.19525216313636196</v>
      </c>
      <c r="G16" s="5">
        <v>-0.2</v>
      </c>
      <c r="I16" s="7">
        <f t="array" ref="I16:I27">MMULT(B16:E27,G16:G19)</f>
        <v>-0.1980656084</v>
      </c>
      <c r="K16" s="7">
        <f t="shared" ref="K16:K27" si="1">EXP(I16)</f>
        <v>0.8203160317</v>
      </c>
      <c r="M16" s="7">
        <f t="shared" ref="M16:M27" si="2">K16/$K$29</f>
        <v>0.06053270909</v>
      </c>
      <c r="O16" s="1">
        <v>0.0</v>
      </c>
      <c r="R16" s="7">
        <f t="shared" ref="R16:R27" si="3">O16-M16</f>
        <v>-0.06053270909</v>
      </c>
    </row>
    <row r="17">
      <c r="A17" s="2" t="s">
        <v>2</v>
      </c>
      <c r="B17" s="5">
        <v>0.3267707742549435</v>
      </c>
      <c r="C17" s="5">
        <v>0.43695321346654037</v>
      </c>
      <c r="D17" s="5">
        <v>-0.46113297515977947</v>
      </c>
      <c r="E17" s="5">
        <v>0.8352833428986102</v>
      </c>
      <c r="G17" s="5">
        <v>0.3</v>
      </c>
      <c r="I17" s="7">
        <v>0.23278847776869543</v>
      </c>
      <c r="K17" s="7">
        <f t="shared" si="1"/>
        <v>1.262114486</v>
      </c>
      <c r="M17" s="7">
        <f t="shared" si="2"/>
        <v>0.09313387286</v>
      </c>
      <c r="O17" s="1">
        <v>0.0</v>
      </c>
      <c r="R17" s="7">
        <f t="shared" si="3"/>
        <v>-0.09313387286</v>
      </c>
    </row>
    <row r="18">
      <c r="A18" s="2" t="s">
        <v>3</v>
      </c>
      <c r="B18" s="5">
        <v>-0.6656587930330755</v>
      </c>
      <c r="C18" s="5">
        <v>0.2001187391434931</v>
      </c>
      <c r="D18" s="5">
        <v>-0.8334646312704037</v>
      </c>
      <c r="E18" s="5">
        <v>0.8737994117587209</v>
      </c>
      <c r="G18" s="5">
        <v>0.0</v>
      </c>
      <c r="I18" s="7">
        <v>0.3679272627014072</v>
      </c>
      <c r="K18" s="7">
        <f t="shared" si="1"/>
        <v>1.444736949</v>
      </c>
      <c r="M18" s="7">
        <f t="shared" si="2"/>
        <v>0.1066099382</v>
      </c>
      <c r="O18" s="1">
        <v>1.0</v>
      </c>
      <c r="R18" s="7">
        <f t="shared" si="3"/>
        <v>0.8933900618</v>
      </c>
    </row>
    <row r="19">
      <c r="A19" s="2" t="s">
        <v>4</v>
      </c>
      <c r="B19" s="5">
        <v>-0.32727708312836845</v>
      </c>
      <c r="C19" s="5">
        <v>0.45405269438470164</v>
      </c>
      <c r="D19" s="5">
        <v>0.417908831969811</v>
      </c>
      <c r="E19" s="5">
        <v>0.3074729042857478</v>
      </c>
      <c r="G19" s="5">
        <v>0.2</v>
      </c>
      <c r="I19" s="7">
        <v>0.2631658057982338</v>
      </c>
      <c r="K19" s="7">
        <f t="shared" si="1"/>
        <v>1.301042421</v>
      </c>
      <c r="M19" s="7">
        <f t="shared" si="2"/>
        <v>0.09600644064</v>
      </c>
      <c r="O19" s="1">
        <v>1.0</v>
      </c>
      <c r="Q19" s="7">
        <f>LN(M19)</f>
        <v>-2.34334</v>
      </c>
      <c r="R19" s="7">
        <f t="shared" si="3"/>
        <v>0.9039935594</v>
      </c>
    </row>
    <row r="20">
      <c r="A20" s="2" t="s">
        <v>5</v>
      </c>
      <c r="B20" s="5">
        <v>-0.5101944142748138</v>
      </c>
      <c r="C20" s="5">
        <v>-0.014946439847166815</v>
      </c>
      <c r="D20" s="5">
        <v>-0.1978306916142214</v>
      </c>
      <c r="E20" s="5">
        <v>0.5739509767327202</v>
      </c>
      <c r="I20" s="7">
        <v>0.2123451462473568</v>
      </c>
      <c r="K20" s="7">
        <f t="shared" si="1"/>
        <v>1.236574611</v>
      </c>
      <c r="M20" s="7">
        <f t="shared" si="2"/>
        <v>0.09124923599</v>
      </c>
      <c r="O20" s="1">
        <v>0.0</v>
      </c>
      <c r="R20" s="7">
        <f t="shared" si="3"/>
        <v>-0.09124923599</v>
      </c>
    </row>
    <row r="21">
      <c r="A21" s="2" t="s">
        <v>6</v>
      </c>
      <c r="B21" s="5">
        <v>0.366376359937556</v>
      </c>
      <c r="C21" s="5">
        <v>0.7606676665563326</v>
      </c>
      <c r="D21" s="5">
        <v>0.6563048516270926</v>
      </c>
      <c r="E21" s="5">
        <v>-0.07480827511445409</v>
      </c>
      <c r="I21" s="7">
        <v>0.13996337295649774</v>
      </c>
      <c r="K21" s="7">
        <f t="shared" si="1"/>
        <v>1.150231669</v>
      </c>
      <c r="M21" s="7">
        <f t="shared" si="2"/>
        <v>0.08487782303</v>
      </c>
      <c r="O21" s="1">
        <v>1.0</v>
      </c>
      <c r="R21" s="7">
        <f t="shared" si="3"/>
        <v>0.915122177</v>
      </c>
    </row>
    <row r="22">
      <c r="A22" s="2" t="s">
        <v>7</v>
      </c>
      <c r="B22" s="5">
        <v>-0.17900007418800312</v>
      </c>
      <c r="C22" s="5">
        <v>-0.30267260446237754</v>
      </c>
      <c r="D22" s="5">
        <v>-0.8275402324565242</v>
      </c>
      <c r="E22" s="5">
        <v>0.0037605251054804167</v>
      </c>
      <c r="I22" s="7">
        <v>-0.05424966148001655</v>
      </c>
      <c r="K22" s="7">
        <f t="shared" si="1"/>
        <v>0.9471955987</v>
      </c>
      <c r="M22" s="7">
        <f t="shared" si="2"/>
        <v>0.06989539813</v>
      </c>
      <c r="O22" s="1">
        <v>0.0</v>
      </c>
      <c r="R22" s="7">
        <f t="shared" si="3"/>
        <v>-0.06989539813</v>
      </c>
    </row>
    <row r="23">
      <c r="A23" s="2" t="s">
        <v>8</v>
      </c>
      <c r="B23" s="5">
        <v>-0.13675244436035516</v>
      </c>
      <c r="C23" s="5">
        <v>0.01391468419234232</v>
      </c>
      <c r="D23" s="5">
        <v>-0.6900582942466007</v>
      </c>
      <c r="E23" s="5">
        <v>0.998115174688502</v>
      </c>
      <c r="I23" s="7">
        <v>0.2311479290674741</v>
      </c>
      <c r="K23" s="7">
        <f t="shared" si="1"/>
        <v>1.260045623</v>
      </c>
      <c r="M23" s="7">
        <f t="shared" si="2"/>
        <v>0.09298120747</v>
      </c>
      <c r="O23" s="1">
        <v>0.0</v>
      </c>
      <c r="R23" s="7">
        <f t="shared" si="3"/>
        <v>-0.09298120747</v>
      </c>
    </row>
    <row r="24">
      <c r="A24" s="2" t="s">
        <v>9</v>
      </c>
      <c r="B24" s="5">
        <v>-0.4516685737542314</v>
      </c>
      <c r="C24" s="5">
        <v>-0.4900610421688165</v>
      </c>
      <c r="D24" s="5">
        <v>0.03219855811508143</v>
      </c>
      <c r="E24" s="5">
        <v>-0.20320472962951786</v>
      </c>
      <c r="I24" s="7">
        <v>-0.09732554382570223</v>
      </c>
      <c r="K24" s="7">
        <f t="shared" si="1"/>
        <v>0.907260605</v>
      </c>
      <c r="M24" s="7">
        <f t="shared" si="2"/>
        <v>0.06694851758</v>
      </c>
      <c r="O24" s="1">
        <v>1.0</v>
      </c>
      <c r="R24" s="7">
        <f t="shared" si="3"/>
        <v>0.9330514824</v>
      </c>
    </row>
    <row r="25">
      <c r="A25" s="2" t="s">
        <v>10</v>
      </c>
      <c r="B25" s="5">
        <v>-0.32996139991599094</v>
      </c>
      <c r="C25" s="5">
        <v>-0.13444160248016535</v>
      </c>
      <c r="D25" s="5">
        <v>-0.9550599063107934</v>
      </c>
      <c r="E25" s="5">
        <v>-0.7885863991064732</v>
      </c>
      <c r="I25" s="7">
        <v>-0.13205748058214606</v>
      </c>
      <c r="K25" s="7">
        <f t="shared" si="1"/>
        <v>0.8762906239</v>
      </c>
      <c r="M25" s="7">
        <f t="shared" si="2"/>
        <v>0.06466318268</v>
      </c>
      <c r="O25" s="1">
        <v>0.0</v>
      </c>
      <c r="R25" s="7">
        <f t="shared" si="3"/>
        <v>-0.06466318268</v>
      </c>
    </row>
    <row r="26">
      <c r="A26" s="2" t="s">
        <v>11</v>
      </c>
      <c r="B26" s="5">
        <v>0.8456879235225763</v>
      </c>
      <c r="C26" s="5">
        <v>-0.2409664149440629</v>
      </c>
      <c r="D26" s="5">
        <v>-0.5304746311744146</v>
      </c>
      <c r="E26" s="5">
        <v>0.7228068475169638</v>
      </c>
      <c r="I26" s="7">
        <v>-0.09686613968434138</v>
      </c>
      <c r="K26" s="7">
        <f t="shared" si="1"/>
        <v>0.9076775</v>
      </c>
      <c r="M26" s="7">
        <f t="shared" si="2"/>
        <v>0.06697928107</v>
      </c>
      <c r="O26" s="1">
        <v>0.0</v>
      </c>
      <c r="R26" s="7">
        <f t="shared" si="3"/>
        <v>-0.06697928107</v>
      </c>
    </row>
    <row r="27">
      <c r="A27" s="2" t="s">
        <v>12</v>
      </c>
      <c r="B27" s="5">
        <v>-0.7171548568958417</v>
      </c>
      <c r="C27" s="5">
        <v>0.41218460285508685</v>
      </c>
      <c r="D27" s="5">
        <v>0.003894286917247136</v>
      </c>
      <c r="E27" s="5">
        <v>0.48128627928411816</v>
      </c>
      <c r="I27" s="7">
        <v>0.3633436080925181</v>
      </c>
      <c r="K27" s="7">
        <f t="shared" si="1"/>
        <v>1.438129927</v>
      </c>
      <c r="M27" s="7">
        <f t="shared" si="2"/>
        <v>0.1061223933</v>
      </c>
      <c r="O27" s="1">
        <v>0.0</v>
      </c>
      <c r="R27" s="7">
        <f t="shared" si="3"/>
        <v>-0.1061223933</v>
      </c>
    </row>
    <row r="29">
      <c r="J29" s="1" t="s">
        <v>23</v>
      </c>
      <c r="K29" s="7">
        <f>SUM(K16:K27)</f>
        <v>13.55161604</v>
      </c>
      <c r="M29" s="7">
        <f>SUM(M16:M27)</f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.13"/>
    <col customWidth="1" min="3" max="6" width="3.88"/>
    <col customWidth="1" min="7" max="7" width="4.63"/>
    <col customWidth="1" min="8" max="8" width="7.5"/>
    <col customWidth="1" min="9" max="10" width="7.0"/>
    <col customWidth="1" min="11" max="11" width="6.63"/>
    <col customWidth="1" min="12" max="12" width="6.25"/>
    <col customWidth="1" min="13" max="13" width="6.63"/>
    <col customWidth="1" min="14" max="14" width="3.88"/>
    <col customWidth="1" min="15" max="15" width="7.63"/>
    <col customWidth="1" min="16" max="16" width="7.13"/>
    <col customWidth="1" min="17" max="17" width="6.75"/>
    <col customWidth="1" min="18" max="18" width="8.5"/>
    <col customWidth="1" min="19" max="19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4" t="s">
        <v>13</v>
      </c>
      <c r="P1" s="4" t="s">
        <v>24</v>
      </c>
      <c r="Q1" s="2" t="s">
        <v>25</v>
      </c>
    </row>
    <row r="2">
      <c r="B2" s="5">
        <v>0.7</v>
      </c>
      <c r="C2" s="5">
        <v>0.3267707742549435</v>
      </c>
      <c r="D2" s="5">
        <v>-0.6656587930330755</v>
      </c>
      <c r="E2" s="5">
        <v>-0.32727708312836845</v>
      </c>
      <c r="F2" s="5">
        <v>-0.5101944142748138</v>
      </c>
      <c r="G2" s="5">
        <v>0.366376359937556</v>
      </c>
      <c r="H2" s="5">
        <v>-0.17900007418800312</v>
      </c>
      <c r="I2" s="5">
        <v>-0.13675244436035516</v>
      </c>
      <c r="J2" s="5">
        <v>-0.4516685737542314</v>
      </c>
      <c r="K2" s="5">
        <v>-0.32996139991599094</v>
      </c>
      <c r="L2" s="5">
        <v>0.8456879235225763</v>
      </c>
      <c r="M2" s="5">
        <v>-0.7171548568958417</v>
      </c>
      <c r="O2" s="6" t="s">
        <v>11</v>
      </c>
      <c r="P2" s="6" t="s">
        <v>4</v>
      </c>
      <c r="Q2" s="1">
        <v>1.0</v>
      </c>
    </row>
    <row r="3">
      <c r="B3" s="5">
        <v>-0.3237201369071032</v>
      </c>
      <c r="C3" s="5">
        <v>0.43695321346654037</v>
      </c>
      <c r="D3" s="5">
        <v>0.2001187391434931</v>
      </c>
      <c r="E3" s="5">
        <v>0.45405269438470164</v>
      </c>
      <c r="F3" s="5">
        <v>-0.014946439847166815</v>
      </c>
      <c r="G3" s="5">
        <v>0.7606676665563326</v>
      </c>
      <c r="H3" s="5">
        <v>-0.30267260446237754</v>
      </c>
      <c r="I3" s="5">
        <v>0.01391468419234232</v>
      </c>
      <c r="J3" s="5">
        <v>-0.4900610421688165</v>
      </c>
      <c r="K3" s="5">
        <v>-0.13444160248016535</v>
      </c>
      <c r="L3" s="5">
        <v>-0.2409664149440629</v>
      </c>
      <c r="M3" s="5">
        <v>0.41218460285508685</v>
      </c>
      <c r="O3" s="6" t="s">
        <v>11</v>
      </c>
      <c r="P3" s="6" t="s">
        <v>1</v>
      </c>
      <c r="Q3" s="1">
        <v>0.0</v>
      </c>
    </row>
    <row r="4">
      <c r="B4" s="5">
        <v>-0.707320628699271</v>
      </c>
      <c r="C4" s="5">
        <v>-0.46113297515977947</v>
      </c>
      <c r="D4" s="5">
        <v>-0.8334646312704037</v>
      </c>
      <c r="E4" s="5">
        <v>0.417908831969811</v>
      </c>
      <c r="F4" s="5">
        <v>-0.1978306916142214</v>
      </c>
      <c r="G4" s="5">
        <v>0.6563048516270926</v>
      </c>
      <c r="H4" s="5">
        <v>-0.8275402324565242</v>
      </c>
      <c r="I4" s="5">
        <v>-0.6900582942466007</v>
      </c>
      <c r="J4" s="5">
        <v>0.03219855811508143</v>
      </c>
      <c r="K4" s="5">
        <v>-0.9550599063107934</v>
      </c>
      <c r="L4" s="5">
        <v>-0.5304746311744146</v>
      </c>
      <c r="M4" s="5">
        <v>0.003894286917247136</v>
      </c>
      <c r="O4" s="6" t="s">
        <v>11</v>
      </c>
      <c r="P4" s="6" t="s">
        <v>12</v>
      </c>
      <c r="Q4" s="1">
        <v>0.0</v>
      </c>
    </row>
    <row r="5">
      <c r="B5" s="5">
        <v>0.19525216313636196</v>
      </c>
      <c r="C5" s="5">
        <v>0.8352833428986102</v>
      </c>
      <c r="D5" s="5">
        <v>0.8737994117587209</v>
      </c>
      <c r="E5" s="5">
        <v>0.3074729042857478</v>
      </c>
      <c r="F5" s="5">
        <v>0.5739509767327202</v>
      </c>
      <c r="G5" s="5">
        <v>-0.07480827511445409</v>
      </c>
      <c r="H5" s="5">
        <v>0.0037605251054804167</v>
      </c>
      <c r="I5" s="5">
        <v>0.998115174688502</v>
      </c>
      <c r="J5" s="5">
        <v>-0.20320472962951786</v>
      </c>
      <c r="K5" s="5">
        <v>-0.7885863991064732</v>
      </c>
      <c r="L5" s="5">
        <v>0.7228068475169638</v>
      </c>
      <c r="M5" s="5">
        <v>0.48128627928411816</v>
      </c>
      <c r="O5" s="6" t="s">
        <v>11</v>
      </c>
      <c r="P5" s="6" t="s">
        <v>8</v>
      </c>
      <c r="Q5" s="1">
        <v>0.0</v>
      </c>
    </row>
    <row r="6">
      <c r="O6" s="6" t="s">
        <v>11</v>
      </c>
      <c r="P6" s="6" t="s">
        <v>9</v>
      </c>
      <c r="Q6" s="1">
        <v>1.0</v>
      </c>
    </row>
    <row r="7">
      <c r="A7" s="1" t="s">
        <v>15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3"/>
      <c r="O7" s="6" t="s">
        <v>11</v>
      </c>
      <c r="P7" s="6" t="s">
        <v>6</v>
      </c>
      <c r="Q7" s="1">
        <v>1.0</v>
      </c>
    </row>
    <row r="8">
      <c r="B8" s="5">
        <v>0.2</v>
      </c>
      <c r="C8" s="5">
        <v>0.1</v>
      </c>
      <c r="D8" s="5">
        <v>-0.8</v>
      </c>
      <c r="E8" s="5">
        <v>0.7</v>
      </c>
      <c r="F8" s="5">
        <v>-0.9</v>
      </c>
      <c r="G8" s="5">
        <v>0.4</v>
      </c>
      <c r="H8" s="5">
        <v>0.9</v>
      </c>
      <c r="I8" s="5">
        <v>-0.6</v>
      </c>
      <c r="J8" s="5">
        <v>-0.9</v>
      </c>
      <c r="K8" s="5">
        <v>0.5</v>
      </c>
      <c r="L8" s="5">
        <v>-0.2</v>
      </c>
      <c r="M8" s="5">
        <v>-1.0</v>
      </c>
      <c r="O8" s="6" t="s">
        <v>11</v>
      </c>
      <c r="P8" s="6" t="s">
        <v>3</v>
      </c>
      <c r="Q8" s="1">
        <v>1.0</v>
      </c>
    </row>
    <row r="9">
      <c r="B9" s="5">
        <v>0.4</v>
      </c>
      <c r="C9" s="5">
        <v>1.0</v>
      </c>
      <c r="D9" s="5">
        <v>0.1</v>
      </c>
      <c r="E9" s="5">
        <v>0.7</v>
      </c>
      <c r="F9" s="5">
        <v>-0.1</v>
      </c>
      <c r="G9" s="5">
        <v>-0.6</v>
      </c>
      <c r="H9" s="5">
        <v>0.8</v>
      </c>
      <c r="I9" s="5">
        <v>0.4</v>
      </c>
      <c r="J9" s="5">
        <v>0.5</v>
      </c>
      <c r="K9" s="5">
        <v>-0.6</v>
      </c>
      <c r="L9" s="5">
        <v>0.3</v>
      </c>
      <c r="M9" s="5">
        <v>-0.2</v>
      </c>
      <c r="O9" s="6" t="s">
        <v>6</v>
      </c>
      <c r="P9" s="6" t="s">
        <v>9</v>
      </c>
      <c r="Q9" s="1">
        <v>1.0</v>
      </c>
    </row>
    <row r="10">
      <c r="B10" s="5">
        <v>-0.1</v>
      </c>
      <c r="C10" s="5">
        <v>0.2</v>
      </c>
      <c r="D10" s="5">
        <v>0.0</v>
      </c>
      <c r="E10" s="5">
        <v>0.2</v>
      </c>
      <c r="F10" s="5">
        <v>0.0</v>
      </c>
      <c r="G10" s="5">
        <v>0.1</v>
      </c>
      <c r="H10" s="5">
        <v>-0.8</v>
      </c>
      <c r="I10" s="5">
        <v>0.8</v>
      </c>
      <c r="J10" s="5">
        <v>0.0</v>
      </c>
      <c r="K10" s="5">
        <v>0.0</v>
      </c>
      <c r="L10" s="5">
        <v>0.0</v>
      </c>
      <c r="M10" s="5">
        <v>-0.7</v>
      </c>
      <c r="O10" s="6" t="s">
        <v>6</v>
      </c>
      <c r="P10" s="8" t="s">
        <v>12</v>
      </c>
      <c r="Q10" s="1">
        <v>0.0</v>
      </c>
    </row>
    <row r="11">
      <c r="B11" s="5">
        <v>0.1</v>
      </c>
      <c r="C11" s="5">
        <v>-0.1</v>
      </c>
      <c r="D11" s="5">
        <v>0.9</v>
      </c>
      <c r="E11" s="5">
        <v>0.7</v>
      </c>
      <c r="F11" s="5">
        <v>-0.2</v>
      </c>
      <c r="G11" s="5">
        <v>0.9</v>
      </c>
      <c r="H11" s="5">
        <v>0.8</v>
      </c>
      <c r="I11" s="5">
        <v>0.7</v>
      </c>
      <c r="J11" s="5">
        <v>-0.7</v>
      </c>
      <c r="K11" s="5">
        <v>0.3</v>
      </c>
      <c r="L11" s="5">
        <v>0.2</v>
      </c>
      <c r="M11" s="5">
        <v>-0.6</v>
      </c>
      <c r="O11" s="6" t="s">
        <v>6</v>
      </c>
      <c r="P11" s="8" t="s">
        <v>2</v>
      </c>
      <c r="Q11" s="1">
        <v>0.0</v>
      </c>
    </row>
    <row r="12">
      <c r="O12" s="6" t="s">
        <v>6</v>
      </c>
      <c r="P12" s="8" t="s">
        <v>4</v>
      </c>
      <c r="Q12" s="1">
        <v>0.0</v>
      </c>
      <c r="U12" s="9"/>
      <c r="V12" s="10"/>
      <c r="W12" s="11"/>
    </row>
    <row r="13">
      <c r="O13" s="6" t="s">
        <v>6</v>
      </c>
      <c r="P13" s="6" t="s">
        <v>11</v>
      </c>
      <c r="Q13" s="1">
        <v>1.0</v>
      </c>
      <c r="U13" s="12"/>
      <c r="V13" s="12"/>
      <c r="W13" s="11"/>
    </row>
    <row r="14">
      <c r="A14" s="1"/>
      <c r="G14" s="2"/>
      <c r="I14" s="1"/>
      <c r="K14" s="1"/>
      <c r="M14" s="1"/>
      <c r="O14" s="6" t="s">
        <v>6</v>
      </c>
      <c r="P14" s="6" t="s">
        <v>3</v>
      </c>
      <c r="Q14" s="1">
        <v>1.0</v>
      </c>
      <c r="U14" s="12"/>
      <c r="V14" s="13"/>
      <c r="W14" s="11"/>
    </row>
    <row r="15">
      <c r="A15" s="1"/>
      <c r="G15" s="2"/>
      <c r="I15" s="1"/>
      <c r="K15" s="1"/>
      <c r="M15" s="1"/>
      <c r="O15" s="6" t="s">
        <v>6</v>
      </c>
      <c r="P15" s="6" t="s">
        <v>7</v>
      </c>
      <c r="Q15" s="1">
        <v>1.0</v>
      </c>
      <c r="U15" s="12"/>
      <c r="V15" s="13"/>
      <c r="W15" s="11"/>
    </row>
    <row r="16">
      <c r="U16" s="12"/>
      <c r="V16" s="13"/>
      <c r="W16" s="11"/>
    </row>
    <row r="17">
      <c r="A17" s="1" t="s">
        <v>16</v>
      </c>
      <c r="G17" s="2" t="s">
        <v>11</v>
      </c>
      <c r="I17" s="1" t="s">
        <v>17</v>
      </c>
      <c r="K17" s="1" t="s">
        <v>26</v>
      </c>
      <c r="M17" s="1" t="s">
        <v>20</v>
      </c>
      <c r="O17" s="1" t="s">
        <v>21</v>
      </c>
      <c r="P17" s="1" t="s">
        <v>22</v>
      </c>
      <c r="U17" s="12"/>
      <c r="V17" s="13"/>
      <c r="W17" s="11"/>
    </row>
    <row r="18">
      <c r="A18" s="2" t="s">
        <v>4</v>
      </c>
      <c r="B18" s="5">
        <v>-0.32727708312836845</v>
      </c>
      <c r="C18" s="5">
        <v>0.45405269438470164</v>
      </c>
      <c r="D18" s="5">
        <v>0.417908831969811</v>
      </c>
      <c r="E18" s="5">
        <v>0.3074729042857478</v>
      </c>
      <c r="G18" s="5">
        <v>-0.2</v>
      </c>
      <c r="I18" s="7">
        <f t="array" ref="I18">MMULT(B18:E18,G18:G21)</f>
        <v>0.2631658058</v>
      </c>
      <c r="K18" s="7">
        <f>1/(1+EXP(-I18))</f>
        <v>0.5654143571</v>
      </c>
      <c r="M18" s="1">
        <v>1.0</v>
      </c>
      <c r="O18" s="7">
        <f>LN(K18)</f>
        <v>-0.5701964412</v>
      </c>
      <c r="P18" s="7">
        <f>M18-K18</f>
        <v>0.4345856429</v>
      </c>
    </row>
    <row r="19">
      <c r="A19" s="2"/>
      <c r="B19" s="5"/>
      <c r="C19" s="5"/>
      <c r="D19" s="5"/>
      <c r="E19" s="5"/>
      <c r="G19" s="5">
        <v>0.3</v>
      </c>
    </row>
    <row r="20">
      <c r="A20" s="2"/>
      <c r="B20" s="5"/>
      <c r="C20" s="5"/>
      <c r="D20" s="5"/>
      <c r="E20" s="5"/>
      <c r="G20" s="5">
        <v>0.0</v>
      </c>
    </row>
    <row r="21">
      <c r="A21" s="2"/>
      <c r="B21" s="5"/>
      <c r="C21" s="5"/>
      <c r="D21" s="5"/>
      <c r="E21" s="5"/>
      <c r="G21" s="5">
        <v>0.2</v>
      </c>
    </row>
    <row r="22">
      <c r="A22" s="2"/>
      <c r="B22" s="5"/>
      <c r="C22" s="5"/>
      <c r="D22" s="5"/>
      <c r="E22" s="5"/>
    </row>
    <row r="23">
      <c r="A23" s="2"/>
      <c r="B23" s="5"/>
      <c r="C23" s="5"/>
      <c r="D23" s="5"/>
      <c r="E23" s="5"/>
    </row>
    <row r="24">
      <c r="A24" s="2"/>
      <c r="B24" s="5"/>
      <c r="C24" s="5"/>
      <c r="D24" s="5"/>
      <c r="E24" s="5"/>
    </row>
    <row r="25">
      <c r="A25" s="2"/>
      <c r="B25" s="5"/>
      <c r="C25" s="5"/>
      <c r="D25" s="5"/>
      <c r="E25" s="5"/>
    </row>
    <row r="26">
      <c r="A26" s="2"/>
      <c r="B26" s="5"/>
      <c r="C26" s="5"/>
      <c r="D26" s="5"/>
      <c r="E26" s="5"/>
    </row>
    <row r="27">
      <c r="A27" s="2"/>
      <c r="B27" s="5"/>
      <c r="C27" s="5"/>
      <c r="D27" s="5"/>
      <c r="E27" s="5"/>
    </row>
    <row r="28">
      <c r="A28" s="2"/>
      <c r="B28" s="5"/>
      <c r="C28" s="5"/>
      <c r="D28" s="5"/>
      <c r="E28" s="5"/>
    </row>
  </sheetData>
  <drawing r:id="rId1"/>
</worksheet>
</file>