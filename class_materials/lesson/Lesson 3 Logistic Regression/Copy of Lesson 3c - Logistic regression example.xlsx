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" sheetId="1" r:id="rId5"/>
    <sheet state="visible" name="Exercise" sheetId="2" r:id="rId6"/>
  </sheets>
  <definedNames/>
  <calcPr/>
</workbook>
</file>

<file path=xl/sharedStrings.xml><?xml version="1.0" encoding="utf-8"?>
<sst xmlns="http://schemas.openxmlformats.org/spreadsheetml/2006/main" count="124" uniqueCount="57">
  <si>
    <t>Training data</t>
  </si>
  <si>
    <t>Bag of word features</t>
  </si>
  <si>
    <t>Unnormalized score (z)</t>
  </si>
  <si>
    <t>Probability</t>
  </si>
  <si>
    <t>Log-likelihood</t>
  </si>
  <si>
    <t>Text</t>
  </si>
  <si>
    <t>Label</t>
  </si>
  <si>
    <t>predictable</t>
  </si>
  <si>
    <t>boring</t>
  </si>
  <si>
    <t>very</t>
  </si>
  <si>
    <t>few</t>
  </si>
  <si>
    <t>laughs</t>
  </si>
  <si>
    <t>short</t>
  </si>
  <si>
    <t>powerful</t>
  </si>
  <si>
    <t>fun</t>
  </si>
  <si>
    <t>good</t>
  </si>
  <si>
    <t>negative</t>
  </si>
  <si>
    <t>positive</t>
  </si>
  <si>
    <t>neutral</t>
  </si>
  <si>
    <t>predictable and boring</t>
  </si>
  <si>
    <t>very few laughs</t>
  </si>
  <si>
    <t>short but boring</t>
  </si>
  <si>
    <t>very powerful</t>
  </si>
  <si>
    <t>fun and good laughs</t>
  </si>
  <si>
    <t>very short</t>
  </si>
  <si>
    <t>Model parameter</t>
  </si>
  <si>
    <t>Crossentropy loss</t>
  </si>
  <si>
    <t>bias</t>
  </si>
  <si>
    <t>Feature vector</t>
  </si>
  <si>
    <t>text</t>
  </si>
  <si>
    <t>label</t>
  </si>
  <si>
    <t>hong</t>
  </si>
  <si>
    <t>meow</t>
  </si>
  <si>
    <t>nyan</t>
  </si>
  <si>
    <t>ow</t>
  </si>
  <si>
    <t>woof</t>
  </si>
  <si>
    <t>yawn</t>
  </si>
  <si>
    <t>camel</t>
  </si>
  <si>
    <t>cat</t>
  </si>
  <si>
    <t>dog</t>
  </si>
  <si>
    <t>meow meow yawn</t>
  </si>
  <si>
    <t>nyan yawn ow</t>
  </si>
  <si>
    <t>yawn woof woof</t>
  </si>
  <si>
    <t>hong ow</t>
  </si>
  <si>
    <t>yawn ow</t>
  </si>
  <si>
    <t>woof hong</t>
  </si>
  <si>
    <t>Learning rate</t>
  </si>
  <si>
    <t>nyan hong</t>
  </si>
  <si>
    <t>Model weight / Model Parameter</t>
  </si>
  <si>
    <t>Gradient</t>
  </si>
  <si>
    <t>Updated weight</t>
  </si>
  <si>
    <t>Intercept/bias</t>
  </si>
  <si>
    <t>Exercise</t>
  </si>
  <si>
    <t>Fill out the feature vectors for each row in the dataset</t>
  </si>
  <si>
    <t>Compute unnormalized scores of every label and every row</t>
  </si>
  <si>
    <t>Compute crossentropy loss</t>
  </si>
  <si>
    <t xml:space="preserve">Computer gradient for the second sample (nyan yawn ow, cat)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</si>
</sst>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0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Helvetica Neue"/>
    </font>
    <font>
      <b/>
      <sz val="9.0"/>
      <color theme="1"/>
      <name val="&quot;Helvetica Neue&quot;"/>
    </font>
    <font/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9.0"/>
      <color rgb="FF000000"/>
      <name val="&quot;Helvetica Neue&quot;"/>
    </font>
    <font>
      <sz val="9.0"/>
      <color rgb="FF000000"/>
      <name val="&quot;Helvetica Neue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2" fillId="0" fontId="5" numFmtId="0" xfId="0" applyAlignment="1" applyBorder="1" applyFont="1">
      <alignment horizontal="center" vertical="bottom"/>
    </xf>
    <xf borderId="4" fillId="2" fontId="3" numFmtId="0" xfId="0" applyAlignment="1" applyBorder="1" applyFont="1">
      <alignment horizontal="center" readingOrder="0" vertical="bottom"/>
    </xf>
    <xf borderId="5" fillId="2" fontId="3" numFmtId="0" xfId="0" applyAlignment="1" applyBorder="1" applyFont="1">
      <alignment horizontal="center" readingOrder="0" vertical="bottom"/>
    </xf>
    <xf borderId="6" fillId="2" fontId="3" numFmtId="0" xfId="0" applyAlignment="1" applyBorder="1" applyFont="1">
      <alignment horizontal="center" readingOrder="0" vertical="bottom"/>
    </xf>
    <xf borderId="1" fillId="0" fontId="2" numFmtId="2" xfId="0" applyBorder="1" applyFont="1" applyNumberFormat="1"/>
    <xf borderId="2" fillId="0" fontId="6" numFmtId="0" xfId="0" applyBorder="1" applyFont="1"/>
    <xf borderId="3" fillId="0" fontId="6" numFmtId="0" xfId="0" applyBorder="1" applyFont="1"/>
    <xf borderId="1" fillId="0" fontId="1" numFmtId="164" xfId="0" applyBorder="1" applyFont="1" applyNumberFormat="1"/>
    <xf borderId="1" fillId="0" fontId="2" numFmtId="164" xfId="0" applyBorder="1" applyFont="1" applyNumberFormat="1"/>
    <xf borderId="1" fillId="0" fontId="1" numFmtId="0" xfId="0" applyBorder="1" applyFont="1"/>
    <xf borderId="7" fillId="0" fontId="2" numFmtId="0" xfId="0" applyBorder="1" applyFont="1"/>
    <xf borderId="8" fillId="0" fontId="6" numFmtId="0" xfId="0" applyBorder="1" applyFont="1"/>
    <xf borderId="0" fillId="0" fontId="6" numFmtId="0" xfId="0" applyFont="1"/>
    <xf borderId="0" fillId="0" fontId="6" numFmtId="0" xfId="0" applyAlignment="1" applyFont="1">
      <alignment readingOrder="0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0" fillId="0" fontId="7" numFmtId="0" xfId="0" applyAlignment="1" applyFont="1">
      <alignment readingOrder="0"/>
    </xf>
    <xf borderId="0" fillId="0" fontId="6" numFmtId="2" xfId="0" applyAlignment="1" applyFont="1" applyNumberFormat="1">
      <alignment readingOrder="0"/>
    </xf>
    <xf borderId="0" fillId="0" fontId="6" numFmtId="2" xfId="0" applyFont="1" applyNumberFormat="1"/>
    <xf borderId="0" fillId="0" fontId="7" numFmtId="0" xfId="0" applyFont="1"/>
    <xf borderId="0" fillId="2" fontId="8" numFmtId="0" xfId="0" applyAlignment="1" applyFont="1">
      <alignment horizontal="right" readingOrder="0"/>
    </xf>
    <xf borderId="1" fillId="2" fontId="8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5" fillId="2" fontId="8" numFmtId="0" xfId="0" applyAlignment="1" applyBorder="1" applyFont="1">
      <alignment horizontal="center" readingOrder="0"/>
    </xf>
    <xf borderId="4" fillId="2" fontId="8" numFmtId="0" xfId="0" applyAlignment="1" applyBorder="1" applyFont="1">
      <alignment horizontal="center" readingOrder="0"/>
    </xf>
    <xf borderId="6" fillId="2" fontId="8" numFmtId="0" xfId="0" applyAlignment="1" applyBorder="1" applyFont="1">
      <alignment horizontal="center" readingOrder="0"/>
    </xf>
    <xf borderId="7" fillId="2" fontId="8" numFmtId="0" xfId="0" applyAlignment="1" applyBorder="1" applyFont="1">
      <alignment horizontal="center" readingOrder="0"/>
    </xf>
    <xf borderId="0" fillId="2" fontId="8" numFmtId="0" xfId="0" applyAlignment="1" applyFont="1">
      <alignment horizontal="center" readingOrder="0"/>
    </xf>
    <xf borderId="8" fillId="2" fontId="8" numFmtId="0" xfId="0" applyAlignment="1" applyBorder="1" applyFont="1">
      <alignment horizontal="center" readingOrder="0"/>
    </xf>
    <xf borderId="0" fillId="3" fontId="9" numFmtId="0" xfId="0" applyAlignment="1" applyFill="1" applyFont="1">
      <alignment horizontal="right" readingOrder="0"/>
    </xf>
    <xf borderId="7" fillId="0" fontId="6" numFmtId="0" xfId="0" applyAlignment="1" applyBorder="1" applyFont="1">
      <alignment readingOrder="0"/>
    </xf>
    <xf borderId="1" fillId="0" fontId="6" numFmtId="164" xfId="0" applyBorder="1" applyFont="1" applyNumberFormat="1"/>
    <xf borderId="2" fillId="0" fontId="6" numFmtId="164" xfId="0" applyBorder="1" applyFont="1" applyNumberFormat="1"/>
    <xf borderId="3" fillId="0" fontId="6" numFmtId="164" xfId="0" applyBorder="1" applyFont="1" applyNumberFormat="1"/>
    <xf borderId="7" fillId="0" fontId="6" numFmtId="164" xfId="0" applyBorder="1" applyFont="1" applyNumberFormat="1"/>
    <xf borderId="0" fillId="0" fontId="6" numFmtId="164" xfId="0" applyFont="1" applyNumberFormat="1"/>
    <xf borderId="0" fillId="0" fontId="7" numFmtId="164" xfId="0" applyFont="1" applyNumberFormat="1"/>
    <xf borderId="0" fillId="2" fontId="9" numFmtId="0" xfId="0" applyAlignment="1" applyFont="1">
      <alignment horizontal="right" readingOrder="0"/>
    </xf>
    <xf borderId="8" fillId="0" fontId="6" numFmtId="0" xfId="0" applyAlignment="1" applyBorder="1" applyFont="1">
      <alignment readingOrder="0"/>
    </xf>
    <xf borderId="5" fillId="2" fontId="9" numFmtId="0" xfId="0" applyAlignment="1" applyBorder="1" applyFont="1">
      <alignment horizontal="right" readingOrder="0"/>
    </xf>
    <xf borderId="4" fillId="0" fontId="6" numFmtId="0" xfId="0" applyAlignment="1" applyBorder="1" applyFont="1">
      <alignment readingOrder="0"/>
    </xf>
    <xf borderId="5" fillId="0" fontId="6" numFmtId="0" xfId="0" applyAlignment="1" applyBorder="1" applyFont="1">
      <alignment readingOrder="0"/>
    </xf>
    <xf borderId="6" fillId="0" fontId="6" numFmtId="0" xfId="0" applyAlignment="1" applyBorder="1" applyFont="1">
      <alignment readingOrder="0"/>
    </xf>
    <xf borderId="5" fillId="2" fontId="8" numFmtId="0" xfId="0" applyAlignment="1" applyBorder="1" applyFont="1">
      <alignment horizontal="right" readingOrder="0"/>
    </xf>
    <xf borderId="5" fillId="0" fontId="7" numFmtId="0" xfId="0" applyAlignment="1" applyBorder="1" applyFont="1">
      <alignment readingOrder="0"/>
    </xf>
    <xf borderId="0" fillId="3" fontId="8" numFmtId="0" xfId="0" applyAlignment="1" applyFont="1">
      <alignment horizontal="right" readingOrder="0"/>
    </xf>
    <xf borderId="0" fillId="3" fontId="9" numFmtId="164" xfId="0" applyAlignment="1" applyFont="1" applyNumberFormat="1">
      <alignment horizontal="right" readingOrder="0"/>
    </xf>
    <xf borderId="0" fillId="2" fontId="9" numFmtId="16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647700</xdr:colOff>
      <xdr:row>22</xdr:row>
      <xdr:rowOff>76200</xdr:rowOff>
    </xdr:from>
    <xdr:ext cx="4933950" cy="657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7.25"/>
    <col customWidth="1" min="3" max="3" width="9.13"/>
    <col customWidth="1" min="4" max="4" width="5.63"/>
    <col customWidth="1" min="5" max="5" width="4.13"/>
    <col customWidth="1" min="6" max="6" width="3.63"/>
    <col customWidth="1" min="7" max="7" width="5.88"/>
    <col customWidth="1" min="8" max="8" width="4.75"/>
    <col customWidth="1" min="9" max="9" width="7.25"/>
    <col customWidth="1" min="10" max="10" width="5.13"/>
    <col customWidth="1" min="11" max="11" width="4.88"/>
    <col customWidth="1" min="12" max="12" width="9.0"/>
    <col customWidth="1" min="13" max="13" width="6.63"/>
    <col customWidth="1" min="14" max="14" width="6.0"/>
    <col customWidth="1" min="15" max="15" width="7.75"/>
    <col customWidth="1" min="16" max="16" width="6.63"/>
    <col customWidth="1" min="17" max="17" width="6.0"/>
    <col customWidth="1" min="18" max="18" width="8.0"/>
    <col customWidth="1" min="19" max="19" width="6.63"/>
    <col customWidth="1" min="20" max="20" width="6.0"/>
  </cols>
  <sheetData>
    <row r="1">
      <c r="A1" s="1" t="s">
        <v>0</v>
      </c>
      <c r="B1" s="1"/>
      <c r="C1" s="1" t="s">
        <v>1</v>
      </c>
      <c r="D1" s="2"/>
      <c r="E1" s="2"/>
      <c r="F1" s="2"/>
      <c r="G1" s="2"/>
      <c r="H1" s="2"/>
      <c r="I1" s="2"/>
      <c r="J1" s="2"/>
      <c r="K1" s="2"/>
      <c r="L1" s="3" t="s">
        <v>2</v>
      </c>
      <c r="M1" s="4"/>
      <c r="N1" s="5"/>
      <c r="O1" s="6" t="s">
        <v>3</v>
      </c>
      <c r="P1" s="4"/>
      <c r="Q1" s="5"/>
      <c r="R1" s="6" t="s">
        <v>4</v>
      </c>
      <c r="S1" s="4"/>
      <c r="T1" s="5"/>
    </row>
    <row r="2">
      <c r="A2" s="1" t="s">
        <v>5</v>
      </c>
      <c r="B2" s="1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7" t="s">
        <v>16</v>
      </c>
      <c r="M2" s="8" t="s">
        <v>17</v>
      </c>
      <c r="N2" s="9" t="s">
        <v>18</v>
      </c>
      <c r="O2" s="7" t="s">
        <v>16</v>
      </c>
      <c r="P2" s="8" t="s">
        <v>17</v>
      </c>
      <c r="Q2" s="9" t="s">
        <v>18</v>
      </c>
      <c r="R2" s="7" t="s">
        <v>16</v>
      </c>
      <c r="S2" s="8" t="s">
        <v>17</v>
      </c>
      <c r="T2" s="9" t="s">
        <v>18</v>
      </c>
    </row>
    <row r="3">
      <c r="A3" s="2" t="s">
        <v>19</v>
      </c>
      <c r="B3" s="2" t="s">
        <v>16</v>
      </c>
      <c r="C3" s="2">
        <v>1.0</v>
      </c>
      <c r="D3" s="2">
        <v>1.0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10">
        <f t="shared" ref="L3:L8" si="2">SUMPRODUCT(C3:K3,$C$12:$K$12)+$B$12</f>
        <v>0.6285714286</v>
      </c>
      <c r="M3" s="11">
        <f t="shared" ref="M3:M8" si="3">SUMPRODUCT(C3:K3,$C$13:$K$13)+$B$13</f>
        <v>-1.6</v>
      </c>
      <c r="N3" s="12">
        <f t="shared" ref="N3:N8" si="4">SUMPRODUCT(C3:K3,$C$14:$K$14)+$B$14</f>
        <v>-1.8</v>
      </c>
      <c r="O3" s="13">
        <f t="shared" ref="O3:Q3" si="1">EXP(L3)/(EXP($L$3)+EXP($M$3)+EXP($N$3))</f>
        <v>0.8362288864</v>
      </c>
      <c r="P3" s="14">
        <f t="shared" si="1"/>
        <v>0.09004692602</v>
      </c>
      <c r="Q3" s="14">
        <f t="shared" si="1"/>
        <v>0.07372418755</v>
      </c>
      <c r="R3" s="15">
        <f t="shared" ref="R3:R5" si="6">LOG(O3)</f>
        <v>-0.07767483439</v>
      </c>
      <c r="S3" s="11"/>
      <c r="T3" s="12"/>
    </row>
    <row r="4">
      <c r="A4" s="2" t="s">
        <v>20</v>
      </c>
      <c r="B4" s="2" t="s">
        <v>16</v>
      </c>
      <c r="C4" s="2">
        <v>0.0</v>
      </c>
      <c r="D4" s="2">
        <v>0.0</v>
      </c>
      <c r="E4" s="2">
        <v>1.0</v>
      </c>
      <c r="F4" s="2">
        <v>1.0</v>
      </c>
      <c r="G4" s="2">
        <v>1.0</v>
      </c>
      <c r="H4" s="2">
        <v>0.0</v>
      </c>
      <c r="I4" s="2">
        <v>0.0</v>
      </c>
      <c r="J4" s="2">
        <v>0.0</v>
      </c>
      <c r="K4" s="2">
        <v>0.0</v>
      </c>
      <c r="L4" s="10">
        <f t="shared" si="2"/>
        <v>0.16</v>
      </c>
      <c r="M4" s="11">
        <f t="shared" si="3"/>
        <v>0.01</v>
      </c>
      <c r="N4" s="12">
        <f t="shared" si="4"/>
        <v>1.61</v>
      </c>
      <c r="O4" s="13">
        <f t="shared" ref="O4:Q4" si="5">EXP(L4)/(EXP($L4)+EXP($M4)+EXP($N4))</f>
        <v>0.1632966993</v>
      </c>
      <c r="P4" s="14">
        <f t="shared" si="5"/>
        <v>0.1405507716</v>
      </c>
      <c r="Q4" s="14">
        <f t="shared" si="5"/>
        <v>0.6961525291</v>
      </c>
      <c r="R4" s="16">
        <f t="shared" si="6"/>
        <v>-0.7870225935</v>
      </c>
      <c r="T4" s="17"/>
    </row>
    <row r="5">
      <c r="A5" s="2" t="s">
        <v>21</v>
      </c>
      <c r="B5" s="2" t="s">
        <v>16</v>
      </c>
      <c r="C5" s="2">
        <v>0.0</v>
      </c>
      <c r="D5" s="2">
        <v>1.0</v>
      </c>
      <c r="E5" s="2">
        <v>0.0</v>
      </c>
      <c r="F5" s="2">
        <v>0.0</v>
      </c>
      <c r="G5" s="2">
        <v>0.0</v>
      </c>
      <c r="H5" s="2">
        <v>1.0</v>
      </c>
      <c r="I5" s="2">
        <v>0.0</v>
      </c>
      <c r="J5" s="2">
        <v>0.0</v>
      </c>
      <c r="K5" s="2">
        <v>0.0</v>
      </c>
      <c r="L5" s="10">
        <f t="shared" si="2"/>
        <v>0.3857142857</v>
      </c>
      <c r="M5" s="11">
        <f t="shared" si="3"/>
        <v>-1.8</v>
      </c>
      <c r="N5" s="12">
        <f t="shared" si="4"/>
        <v>-1</v>
      </c>
      <c r="O5" s="13">
        <f t="shared" ref="O5:Q5" si="7">EXP(L5)/(EXP($L5)+EXP($M5)+EXP($N5))</f>
        <v>0.7339220708</v>
      </c>
      <c r="P5" s="14">
        <f t="shared" si="7"/>
        <v>0.08249094805</v>
      </c>
      <c r="Q5" s="14">
        <f t="shared" si="7"/>
        <v>0.1835869811</v>
      </c>
      <c r="R5" s="16">
        <f t="shared" si="6"/>
        <v>-0.1343500518</v>
      </c>
      <c r="T5" s="17"/>
    </row>
    <row r="6">
      <c r="A6" s="2" t="s">
        <v>22</v>
      </c>
      <c r="B6" s="2" t="s">
        <v>17</v>
      </c>
      <c r="C6" s="2">
        <v>0.0</v>
      </c>
      <c r="D6" s="2">
        <v>0.0</v>
      </c>
      <c r="E6" s="2">
        <v>1.0</v>
      </c>
      <c r="F6" s="2">
        <v>0.0</v>
      </c>
      <c r="G6" s="2">
        <v>0.0</v>
      </c>
      <c r="H6" s="2">
        <v>0.0</v>
      </c>
      <c r="I6" s="2">
        <v>1.0</v>
      </c>
      <c r="J6" s="2">
        <v>0.0</v>
      </c>
      <c r="K6" s="2">
        <v>0.0</v>
      </c>
      <c r="L6" s="10">
        <f t="shared" si="2"/>
        <v>0.2</v>
      </c>
      <c r="M6" s="11">
        <f t="shared" si="3"/>
        <v>-0.19</v>
      </c>
      <c r="N6" s="12">
        <f t="shared" si="4"/>
        <v>1.1</v>
      </c>
      <c r="O6" s="14">
        <f t="shared" ref="O6:Q6" si="8">EXP(L6)/(EXP($L6)+EXP($M6)+EXP($N6))</f>
        <v>0.2417409223</v>
      </c>
      <c r="P6" s="13">
        <f t="shared" si="8"/>
        <v>0.1636723533</v>
      </c>
      <c r="Q6" s="14">
        <f t="shared" si="8"/>
        <v>0.5945867245</v>
      </c>
      <c r="R6" s="16"/>
      <c r="S6" s="18">
        <f t="shared" ref="S6:S7" si="10">LOG(P6)</f>
        <v>-0.7860246733</v>
      </c>
      <c r="T6" s="17"/>
    </row>
    <row r="7">
      <c r="A7" s="2" t="s">
        <v>23</v>
      </c>
      <c r="B7" s="2" t="s">
        <v>17</v>
      </c>
      <c r="C7" s="2">
        <v>0.0</v>
      </c>
      <c r="D7" s="2">
        <v>0.0</v>
      </c>
      <c r="E7" s="2">
        <v>0.0</v>
      </c>
      <c r="F7" s="2">
        <v>0.0</v>
      </c>
      <c r="G7" s="2">
        <v>1.0</v>
      </c>
      <c r="H7" s="2">
        <v>0.0</v>
      </c>
      <c r="I7" s="2">
        <v>0.0</v>
      </c>
      <c r="J7" s="2">
        <v>1.0</v>
      </c>
      <c r="K7" s="2">
        <v>1.0</v>
      </c>
      <c r="L7" s="10">
        <f t="shared" si="2"/>
        <v>-0.74</v>
      </c>
      <c r="M7" s="11">
        <f t="shared" si="3"/>
        <v>1.3</v>
      </c>
      <c r="N7" s="12">
        <f t="shared" si="4"/>
        <v>1.31</v>
      </c>
      <c r="O7" s="14">
        <f t="shared" ref="O7:Q7" si="9">EXP(L7)/(EXP($L7)+EXP($M7)+EXP($N7))</f>
        <v>0.06075884035</v>
      </c>
      <c r="P7" s="13">
        <f t="shared" si="9"/>
        <v>0.4672724965</v>
      </c>
      <c r="Q7" s="14">
        <f t="shared" si="9"/>
        <v>0.4719686632</v>
      </c>
      <c r="R7" s="16"/>
      <c r="S7" s="18">
        <f t="shared" si="10"/>
        <v>-0.3304297807</v>
      </c>
      <c r="T7" s="17"/>
    </row>
    <row r="8">
      <c r="A8" s="19" t="s">
        <v>24</v>
      </c>
      <c r="B8" s="19" t="s">
        <v>18</v>
      </c>
      <c r="C8" s="2">
        <v>0.0</v>
      </c>
      <c r="D8" s="2">
        <v>0.0</v>
      </c>
      <c r="E8" s="19">
        <v>1.0</v>
      </c>
      <c r="F8" s="19">
        <v>0.0</v>
      </c>
      <c r="G8" s="19">
        <v>0.0</v>
      </c>
      <c r="H8" s="19">
        <v>1.0</v>
      </c>
      <c r="I8" s="19">
        <v>0.0</v>
      </c>
      <c r="J8" s="19">
        <v>0.0</v>
      </c>
      <c r="K8" s="19">
        <v>0.0</v>
      </c>
      <c r="L8" s="10">
        <f t="shared" si="2"/>
        <v>0.2</v>
      </c>
      <c r="M8" s="11">
        <f t="shared" si="3"/>
        <v>-0.79</v>
      </c>
      <c r="N8" s="12">
        <f t="shared" si="4"/>
        <v>1.8</v>
      </c>
      <c r="O8" s="14">
        <f t="shared" ref="O8:Q8" si="11">EXP(L8)/(EXP($L8)+EXP($M8)+EXP($N8))</f>
        <v>0.1581125381</v>
      </c>
      <c r="P8" s="14">
        <f t="shared" si="11"/>
        <v>0.05875093373</v>
      </c>
      <c r="Q8" s="13">
        <f t="shared" si="11"/>
        <v>0.7831365281</v>
      </c>
      <c r="R8" s="20"/>
      <c r="S8" s="21"/>
      <c r="T8" s="22">
        <f>LOG(Q8)</f>
        <v>-0.1061625186</v>
      </c>
    </row>
    <row r="10">
      <c r="A10" s="23" t="s">
        <v>25</v>
      </c>
      <c r="O10" s="19" t="s">
        <v>26</v>
      </c>
      <c r="R10" s="18">
        <f>-SUM(R3:T8)</f>
        <v>2.221664452</v>
      </c>
    </row>
    <row r="11">
      <c r="B11" s="19" t="s">
        <v>27</v>
      </c>
      <c r="C11" s="2" t="s">
        <v>7</v>
      </c>
      <c r="D11" s="2" t="s">
        <v>8</v>
      </c>
      <c r="E11" s="2" t="s">
        <v>9</v>
      </c>
      <c r="F11" s="2" t="s">
        <v>10</v>
      </c>
      <c r="G11" s="2" t="s">
        <v>11</v>
      </c>
      <c r="H11" s="2" t="s">
        <v>12</v>
      </c>
      <c r="I11" s="2" t="s">
        <v>13</v>
      </c>
      <c r="J11" s="2" t="s">
        <v>14</v>
      </c>
      <c r="K11" s="2" t="s">
        <v>15</v>
      </c>
    </row>
    <row r="12">
      <c r="A12" s="19" t="s">
        <v>16</v>
      </c>
      <c r="B12" s="24">
        <v>0.2</v>
      </c>
      <c r="C12" s="25">
        <f t="shared" ref="C12:D12" si="12">SUM(C3:C5)/SUM($C$3:$K$5)</f>
        <v>0.1428571429</v>
      </c>
      <c r="D12" s="25">
        <f t="shared" si="12"/>
        <v>0.2857142857</v>
      </c>
      <c r="E12" s="24">
        <v>0.1</v>
      </c>
      <c r="F12" s="24">
        <v>0.2</v>
      </c>
      <c r="G12" s="24">
        <v>-0.34</v>
      </c>
      <c r="H12" s="24">
        <v>-0.1</v>
      </c>
      <c r="I12" s="24">
        <v>-0.1</v>
      </c>
      <c r="J12" s="24">
        <v>-0.4</v>
      </c>
      <c r="K12" s="24">
        <v>-0.2</v>
      </c>
    </row>
    <row r="13">
      <c r="A13" s="19" t="s">
        <v>17</v>
      </c>
      <c r="B13" s="19">
        <v>-0.4</v>
      </c>
      <c r="C13" s="24">
        <v>-0.2</v>
      </c>
      <c r="D13" s="24">
        <v>-1.0</v>
      </c>
      <c r="E13" s="24">
        <v>0.01</v>
      </c>
      <c r="F13" s="24">
        <v>0.2</v>
      </c>
      <c r="G13" s="25">
        <f>SUM(G6:G7)/SUM($C$6:$K$7)</f>
        <v>0.2</v>
      </c>
      <c r="H13" s="24">
        <v>-0.4</v>
      </c>
      <c r="I13" s="24">
        <v>0.2</v>
      </c>
      <c r="J13" s="24">
        <v>1.1</v>
      </c>
      <c r="K13" s="24">
        <v>0.4</v>
      </c>
      <c r="R13" s="19">
        <v>-2.22</v>
      </c>
    </row>
    <row r="14">
      <c r="A14" s="19" t="s">
        <v>18</v>
      </c>
      <c r="B14" s="19">
        <v>1.0</v>
      </c>
      <c r="C14" s="24">
        <v>-0.5</v>
      </c>
      <c r="D14" s="24">
        <v>-2.3</v>
      </c>
      <c r="E14" s="24">
        <v>0.5</v>
      </c>
      <c r="F14" s="24">
        <v>0.1</v>
      </c>
      <c r="G14" s="24">
        <v>0.01</v>
      </c>
      <c r="H14" s="24">
        <v>0.3</v>
      </c>
      <c r="I14" s="24">
        <v>-0.4</v>
      </c>
      <c r="J14" s="24">
        <v>0.1</v>
      </c>
      <c r="K14" s="24">
        <v>0.2</v>
      </c>
    </row>
    <row r="16">
      <c r="A16" s="23"/>
    </row>
    <row r="17">
      <c r="A17" s="2"/>
      <c r="C17" s="24"/>
      <c r="D17" s="25"/>
      <c r="E17" s="24"/>
      <c r="F17" s="25"/>
      <c r="G17" s="24"/>
      <c r="H17" s="25"/>
      <c r="I17" s="24"/>
      <c r="J17" s="24"/>
      <c r="K17" s="25"/>
    </row>
    <row r="18">
      <c r="A18" s="2"/>
      <c r="C18" s="24"/>
      <c r="D18" s="25"/>
      <c r="E18" s="24"/>
      <c r="F18" s="25"/>
      <c r="G18" s="24"/>
      <c r="H18" s="25"/>
      <c r="I18" s="24"/>
      <c r="J18" s="24"/>
      <c r="K18" s="25"/>
      <c r="N18" s="26"/>
    </row>
  </sheetData>
  <mergeCells count="3">
    <mergeCell ref="L1:N1"/>
    <mergeCell ref="O1:Q1"/>
    <mergeCell ref="R1:T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5.38"/>
    <col customWidth="1" min="3" max="3" width="6.13"/>
    <col customWidth="1" min="4" max="4" width="5.63"/>
    <col customWidth="1" min="5" max="5" width="5.0"/>
    <col customWidth="1" min="6" max="6" width="5.63"/>
    <col customWidth="1" min="7" max="7" width="6.5"/>
    <col customWidth="1" min="8" max="8" width="6.13"/>
    <col customWidth="1" min="9" max="9" width="7.88"/>
    <col customWidth="1" min="10" max="10" width="7.25"/>
    <col customWidth="1" min="11" max="11" width="6.63"/>
    <col customWidth="1" min="12" max="12" width="7.13"/>
    <col customWidth="1" min="13" max="13" width="6.63"/>
    <col customWidth="1" min="14" max="14" width="7.5"/>
    <col customWidth="1" min="15" max="15" width="7.0"/>
    <col customWidth="1" min="16" max="16" width="7.5"/>
    <col customWidth="1" min="17" max="17" width="7.25"/>
    <col customWidth="1" min="18" max="18" width="7.75"/>
    <col customWidth="1" min="19" max="19" width="7.13"/>
    <col customWidth="1" min="20" max="20" width="6.63"/>
    <col customWidth="1" min="21" max="24" width="6.13"/>
    <col customWidth="1" min="25" max="25" width="7.25"/>
  </cols>
  <sheetData>
    <row r="1">
      <c r="A1" s="23" t="s">
        <v>0</v>
      </c>
      <c r="B1" s="27"/>
      <c r="C1" s="28" t="s">
        <v>28</v>
      </c>
      <c r="D1" s="4"/>
      <c r="E1" s="4"/>
      <c r="F1" s="4"/>
      <c r="G1" s="4"/>
      <c r="H1" s="5"/>
      <c r="I1" s="28" t="s">
        <v>2</v>
      </c>
      <c r="J1" s="4"/>
      <c r="K1" s="5"/>
      <c r="L1" s="29" t="s">
        <v>3</v>
      </c>
      <c r="M1" s="4"/>
      <c r="N1" s="5"/>
      <c r="O1" s="29" t="s">
        <v>4</v>
      </c>
      <c r="P1" s="4"/>
      <c r="Q1" s="5"/>
    </row>
    <row r="2">
      <c r="A2" s="30" t="s">
        <v>29</v>
      </c>
      <c r="B2" s="30" t="s">
        <v>30</v>
      </c>
      <c r="C2" s="31" t="s">
        <v>31</v>
      </c>
      <c r="D2" s="30" t="s">
        <v>32</v>
      </c>
      <c r="E2" s="30" t="s">
        <v>33</v>
      </c>
      <c r="F2" s="30" t="s">
        <v>34</v>
      </c>
      <c r="G2" s="30" t="s">
        <v>35</v>
      </c>
      <c r="H2" s="32" t="s">
        <v>36</v>
      </c>
      <c r="I2" s="33" t="s">
        <v>37</v>
      </c>
      <c r="J2" s="34" t="s">
        <v>38</v>
      </c>
      <c r="K2" s="35" t="s">
        <v>39</v>
      </c>
      <c r="L2" s="31" t="s">
        <v>37</v>
      </c>
      <c r="M2" s="30" t="s">
        <v>38</v>
      </c>
      <c r="N2" s="32" t="s">
        <v>39</v>
      </c>
      <c r="O2" s="31" t="s">
        <v>37</v>
      </c>
      <c r="P2" s="30" t="s">
        <v>38</v>
      </c>
      <c r="Q2" s="32" t="s">
        <v>39</v>
      </c>
    </row>
    <row r="3">
      <c r="A3" s="36" t="s">
        <v>40</v>
      </c>
      <c r="B3" s="36" t="s">
        <v>38</v>
      </c>
      <c r="C3" s="37">
        <v>0.0</v>
      </c>
      <c r="D3" s="19">
        <v>1.0</v>
      </c>
      <c r="E3" s="19">
        <v>0.0</v>
      </c>
      <c r="F3" s="19">
        <v>0.0</v>
      </c>
      <c r="G3" s="19">
        <v>0.0</v>
      </c>
      <c r="H3" s="19">
        <v>1.0</v>
      </c>
      <c r="I3" s="38">
        <f t="shared" ref="I3:I10" si="3">SUMPRODUCT($C3:$H3,$C$13:$H$13)+$I$13</f>
        <v>-1.294736</v>
      </c>
      <c r="J3" s="39">
        <f t="shared" ref="J3:J10" si="4">SUMPRODUCT($C3:$H3,$C$14:$H$14)+$I$14</f>
        <v>2.349886</v>
      </c>
      <c r="K3" s="40">
        <f t="shared" ref="K3:K10" si="5">SUMPRODUCT($C3:$H3,$C$15:$H$15)+$I$15</f>
        <v>-1.055149</v>
      </c>
      <c r="L3" s="41">
        <f t="shared" ref="L3:N3" si="1">EXP(I3)/(EXP($I3)+EXP($J3)+EXP($K3))</f>
        <v>0.02466758643</v>
      </c>
      <c r="M3" s="41">
        <f t="shared" si="1"/>
        <v>0.9439867137</v>
      </c>
      <c r="N3" s="41">
        <f t="shared" si="1"/>
        <v>0.03134569984</v>
      </c>
      <c r="O3" s="42">
        <f t="shared" ref="O3:Q3" si="2">LOG(L3,EXP(1))</f>
        <v>-3.702265187</v>
      </c>
      <c r="P3" s="43">
        <f t="shared" si="2"/>
        <v>-0.05764318738</v>
      </c>
      <c r="Q3" s="42">
        <f t="shared" si="2"/>
        <v>-3.462678187</v>
      </c>
    </row>
    <row r="4">
      <c r="A4" s="44" t="s">
        <v>41</v>
      </c>
      <c r="B4" s="44" t="s">
        <v>38</v>
      </c>
      <c r="C4" s="37">
        <v>0.0</v>
      </c>
      <c r="D4" s="19">
        <v>0.0</v>
      </c>
      <c r="E4" s="19">
        <v>1.0</v>
      </c>
      <c r="F4" s="19">
        <v>1.0</v>
      </c>
      <c r="G4" s="19">
        <v>0.0</v>
      </c>
      <c r="H4" s="45">
        <v>1.0</v>
      </c>
      <c r="I4" s="38">
        <f t="shared" si="3"/>
        <v>-0.623923</v>
      </c>
      <c r="J4" s="39">
        <f t="shared" si="4"/>
        <v>2.122389</v>
      </c>
      <c r="K4" s="40">
        <f t="shared" si="5"/>
        <v>-1.498466</v>
      </c>
      <c r="L4" s="41">
        <f t="shared" ref="L4:N4" si="6">EXP(I4)/(EXP($I4)+EXP($J4)+EXP($K4))</f>
        <v>0.05881626153</v>
      </c>
      <c r="M4" s="41">
        <f t="shared" si="6"/>
        <v>0.9166542655</v>
      </c>
      <c r="N4" s="41">
        <f t="shared" si="6"/>
        <v>0.02452947298</v>
      </c>
      <c r="O4" s="42">
        <f t="shared" ref="O4:Q4" si="7">LOG(L4,EXP(1))</f>
        <v>-2.833336906</v>
      </c>
      <c r="P4" s="43">
        <f t="shared" si="7"/>
        <v>-0.08702490564</v>
      </c>
      <c r="Q4" s="42">
        <f t="shared" si="7"/>
        <v>-3.707879906</v>
      </c>
    </row>
    <row r="5">
      <c r="A5" s="36" t="s">
        <v>42</v>
      </c>
      <c r="B5" s="36" t="s">
        <v>39</v>
      </c>
      <c r="C5" s="37">
        <v>0.0</v>
      </c>
      <c r="D5" s="19">
        <v>0.0</v>
      </c>
      <c r="E5" s="19">
        <v>0.0</v>
      </c>
      <c r="F5" s="19">
        <v>0.0</v>
      </c>
      <c r="G5" s="19">
        <v>1.0</v>
      </c>
      <c r="H5" s="45">
        <v>1.0</v>
      </c>
      <c r="I5" s="38">
        <f t="shared" si="3"/>
        <v>-1.251549</v>
      </c>
      <c r="J5" s="39">
        <f t="shared" si="4"/>
        <v>-1.150138</v>
      </c>
      <c r="K5" s="40">
        <f t="shared" si="5"/>
        <v>2.401688</v>
      </c>
      <c r="L5" s="41">
        <f t="shared" ref="L5:N5" si="8">EXP(I5)/(EXP($I5)+EXP($J5)+EXP($K5))</f>
        <v>0.02456631744</v>
      </c>
      <c r="M5" s="41">
        <f t="shared" si="8"/>
        <v>0.02718831526</v>
      </c>
      <c r="N5" s="41">
        <f t="shared" si="8"/>
        <v>0.9482453673</v>
      </c>
      <c r="Q5" s="23">
        <f t="shared" ref="Q5:Q6" si="10">LOG(N5,EXP(1))</f>
        <v>-0.05314198395</v>
      </c>
    </row>
    <row r="6">
      <c r="A6" s="44" t="s">
        <v>43</v>
      </c>
      <c r="B6" s="44" t="s">
        <v>39</v>
      </c>
      <c r="C6" s="37">
        <v>1.0</v>
      </c>
      <c r="D6" s="19">
        <v>0.0</v>
      </c>
      <c r="E6" s="19">
        <v>0.0</v>
      </c>
      <c r="F6" s="19">
        <v>1.0</v>
      </c>
      <c r="G6" s="19">
        <v>0.0</v>
      </c>
      <c r="H6" s="45">
        <v>0.0</v>
      </c>
      <c r="I6" s="38">
        <f t="shared" si="3"/>
        <v>1.575944</v>
      </c>
      <c r="J6" s="39">
        <f t="shared" si="4"/>
        <v>-3.114829</v>
      </c>
      <c r="K6" s="40">
        <f t="shared" si="5"/>
        <v>1.538884</v>
      </c>
      <c r="L6" s="41">
        <f t="shared" ref="L6:N6" si="9">EXP(I6)/(EXP($I6)+EXP($J6)+EXP($K6))</f>
        <v>0.5068942936</v>
      </c>
      <c r="M6" s="41">
        <f t="shared" si="9"/>
        <v>0.004653080568</v>
      </c>
      <c r="N6" s="41">
        <f t="shared" si="9"/>
        <v>0.4884526258</v>
      </c>
      <c r="Q6" s="23">
        <f t="shared" si="10"/>
        <v>-0.716512791</v>
      </c>
    </row>
    <row r="7">
      <c r="A7" s="36" t="s">
        <v>44</v>
      </c>
      <c r="B7" s="36" t="s">
        <v>37</v>
      </c>
      <c r="C7" s="37">
        <v>0.0</v>
      </c>
      <c r="D7" s="19">
        <v>0.0</v>
      </c>
      <c r="E7" s="19">
        <v>0.0</v>
      </c>
      <c r="F7" s="19">
        <v>1.0</v>
      </c>
      <c r="G7" s="19">
        <v>0.0</v>
      </c>
      <c r="H7" s="45">
        <v>1.0</v>
      </c>
      <c r="I7" s="38">
        <f t="shared" si="3"/>
        <v>1.900114</v>
      </c>
      <c r="J7" s="39">
        <f t="shared" si="4"/>
        <v>-0.419112</v>
      </c>
      <c r="K7" s="40">
        <f t="shared" si="5"/>
        <v>-1.481002</v>
      </c>
      <c r="L7" s="41">
        <f t="shared" ref="L7:N7" si="11">EXP(I7)/(EXP($I7)+EXP($J7)+EXP($K7))</f>
        <v>0.8831120348</v>
      </c>
      <c r="M7" s="41">
        <f t="shared" si="11"/>
        <v>0.08685378498</v>
      </c>
      <c r="N7" s="41">
        <f t="shared" si="11"/>
        <v>0.03003418018</v>
      </c>
      <c r="O7" s="42">
        <f t="shared" ref="O7:O8" si="13">LOG(L7,EXP(1))</f>
        <v>-0.1243032066</v>
      </c>
    </row>
    <row r="8">
      <c r="A8" s="44" t="s">
        <v>43</v>
      </c>
      <c r="B8" s="44" t="s">
        <v>37</v>
      </c>
      <c r="C8" s="37">
        <v>1.0</v>
      </c>
      <c r="D8" s="19">
        <v>0.0</v>
      </c>
      <c r="E8" s="19">
        <v>0.0</v>
      </c>
      <c r="F8" s="19">
        <v>1.0</v>
      </c>
      <c r="G8" s="19">
        <v>0.0</v>
      </c>
      <c r="H8" s="45">
        <v>0.0</v>
      </c>
      <c r="I8" s="38">
        <f t="shared" si="3"/>
        <v>1.575944</v>
      </c>
      <c r="J8" s="39">
        <f t="shared" si="4"/>
        <v>-3.114829</v>
      </c>
      <c r="K8" s="40">
        <f t="shared" si="5"/>
        <v>1.538884</v>
      </c>
      <c r="L8" s="41">
        <f t="shared" ref="L8:N8" si="12">EXP(I8)/(EXP($I8)+EXP($J8)+EXP($K8))</f>
        <v>0.5068942936</v>
      </c>
      <c r="M8" s="41">
        <f t="shared" si="12"/>
        <v>0.004653080568</v>
      </c>
      <c r="N8" s="41">
        <f t="shared" si="12"/>
        <v>0.4884526258</v>
      </c>
      <c r="O8" s="42">
        <f t="shared" si="13"/>
        <v>-0.679452791</v>
      </c>
    </row>
    <row r="9">
      <c r="A9" s="36" t="s">
        <v>45</v>
      </c>
      <c r="B9" s="36" t="s">
        <v>39</v>
      </c>
      <c r="C9" s="37">
        <v>1.0</v>
      </c>
      <c r="D9" s="19">
        <v>0.0</v>
      </c>
      <c r="E9" s="19">
        <v>0.0</v>
      </c>
      <c r="F9" s="19">
        <v>0.0</v>
      </c>
      <c r="G9" s="19">
        <v>1.0</v>
      </c>
      <c r="H9" s="45">
        <v>0.0</v>
      </c>
      <c r="I9" s="38">
        <f t="shared" si="3"/>
        <v>-1.575719</v>
      </c>
      <c r="J9" s="39">
        <f t="shared" si="4"/>
        <v>-3.845855</v>
      </c>
      <c r="K9" s="40">
        <f t="shared" si="5"/>
        <v>5.421574</v>
      </c>
      <c r="L9" s="41">
        <f t="shared" ref="L9:N9" si="14">EXP(I9)/(EXP($I9)+EXP($J9)+EXP($K9))</f>
        <v>0.0009134322992</v>
      </c>
      <c r="M9" s="41">
        <f t="shared" si="14"/>
        <v>0.00009435584892</v>
      </c>
      <c r="N9" s="41">
        <f t="shared" si="14"/>
        <v>0.9989922119</v>
      </c>
      <c r="Q9" s="23">
        <f t="shared" ref="Q9:Q10" si="16">LOG(N9,EXP(1))</f>
        <v>-0.001008296308</v>
      </c>
      <c r="T9" s="19" t="s">
        <v>46</v>
      </c>
    </row>
    <row r="10">
      <c r="A10" s="46" t="s">
        <v>47</v>
      </c>
      <c r="B10" s="46" t="s">
        <v>39</v>
      </c>
      <c r="C10" s="47">
        <v>1.0</v>
      </c>
      <c r="D10" s="48">
        <v>0.0</v>
      </c>
      <c r="E10" s="48">
        <v>1.0</v>
      </c>
      <c r="F10" s="48">
        <v>0.0</v>
      </c>
      <c r="G10" s="48">
        <v>0.0</v>
      </c>
      <c r="H10" s="49">
        <v>0.0</v>
      </c>
      <c r="I10" s="38">
        <f t="shared" si="3"/>
        <v>-3.081582</v>
      </c>
      <c r="J10" s="39">
        <f t="shared" si="4"/>
        <v>-0.213149</v>
      </c>
      <c r="K10" s="40">
        <f t="shared" si="5"/>
        <v>3.294731</v>
      </c>
      <c r="L10" s="41">
        <f t="shared" ref="L10:N10" si="15">EXP(I10)/(EXP($I10)+EXP($J10)+EXP($K10))</f>
        <v>0.001649168843</v>
      </c>
      <c r="M10" s="41">
        <f t="shared" si="15"/>
        <v>0.02904087817</v>
      </c>
      <c r="N10" s="41">
        <f t="shared" si="15"/>
        <v>0.969309953</v>
      </c>
      <c r="Q10" s="23">
        <f t="shared" si="16"/>
        <v>-0.03117084932</v>
      </c>
      <c r="T10" s="19">
        <v>0.5</v>
      </c>
    </row>
    <row r="11">
      <c r="C11" s="23" t="s">
        <v>48</v>
      </c>
      <c r="I11" s="27"/>
      <c r="K11" s="23" t="s">
        <v>49</v>
      </c>
      <c r="N11" s="19" t="s">
        <v>26</v>
      </c>
      <c r="Q11" s="18">
        <f>-(P3+P4+Q5+Q6+O7+O8+Q9+Q10) / 8</f>
        <v>0.2187822514</v>
      </c>
      <c r="S11" s="23" t="s">
        <v>50</v>
      </c>
    </row>
    <row r="12">
      <c r="C12" s="50" t="s">
        <v>31</v>
      </c>
      <c r="D12" s="50" t="s">
        <v>32</v>
      </c>
      <c r="E12" s="50" t="s">
        <v>33</v>
      </c>
      <c r="F12" s="50" t="s">
        <v>34</v>
      </c>
      <c r="G12" s="50" t="s">
        <v>35</v>
      </c>
      <c r="H12" s="50" t="s">
        <v>36</v>
      </c>
      <c r="I12" s="51" t="s">
        <v>51</v>
      </c>
      <c r="K12" s="50" t="s">
        <v>31</v>
      </c>
      <c r="L12" s="50" t="s">
        <v>32</v>
      </c>
      <c r="M12" s="50" t="s">
        <v>33</v>
      </c>
      <c r="N12" s="50" t="s">
        <v>34</v>
      </c>
      <c r="O12" s="50" t="s">
        <v>35</v>
      </c>
      <c r="P12" s="50" t="s">
        <v>36</v>
      </c>
      <c r="Q12" s="51" t="s">
        <v>51</v>
      </c>
      <c r="S12" s="50" t="s">
        <v>31</v>
      </c>
      <c r="T12" s="50" t="s">
        <v>32</v>
      </c>
      <c r="U12" s="50" t="s">
        <v>33</v>
      </c>
      <c r="V12" s="50" t="s">
        <v>34</v>
      </c>
      <c r="W12" s="50" t="s">
        <v>35</v>
      </c>
      <c r="X12" s="50" t="s">
        <v>36</v>
      </c>
      <c r="Y12" s="51" t="s">
        <v>51</v>
      </c>
    </row>
    <row r="13">
      <c r="B13" s="52" t="s">
        <v>37</v>
      </c>
      <c r="C13" s="53">
        <v>-0.162228</v>
      </c>
      <c r="D13" s="53">
        <v>-1.061361</v>
      </c>
      <c r="E13" s="53">
        <v>-2.524037</v>
      </c>
      <c r="F13" s="53">
        <v>2.133489</v>
      </c>
      <c r="G13" s="53">
        <v>-1.018174</v>
      </c>
      <c r="H13" s="53">
        <v>0.161942</v>
      </c>
      <c r="I13" s="36">
        <v>-0.395317</v>
      </c>
      <c r="K13" s="53">
        <f t="shared" ref="K13:P13" si="17">($L$3-0)*C3</f>
        <v>0</v>
      </c>
      <c r="L13" s="53">
        <f t="shared" si="17"/>
        <v>0.02466758643</v>
      </c>
      <c r="M13" s="53">
        <f t="shared" si="17"/>
        <v>0</v>
      </c>
      <c r="N13" s="53">
        <f t="shared" si="17"/>
        <v>0</v>
      </c>
      <c r="O13" s="53">
        <f t="shared" si="17"/>
        <v>0</v>
      </c>
      <c r="P13" s="53">
        <f t="shared" si="17"/>
        <v>0.02466758643</v>
      </c>
      <c r="Q13" s="53">
        <f>($L$3-0)*1</f>
        <v>0.02466758643</v>
      </c>
      <c r="S13" s="53">
        <f t="shared" ref="S13:Y13" si="18">C13-$T$10*K13</f>
        <v>-0.162228</v>
      </c>
      <c r="T13" s="53">
        <f t="shared" si="18"/>
        <v>-1.073694793</v>
      </c>
      <c r="U13" s="53">
        <f t="shared" si="18"/>
        <v>-2.524037</v>
      </c>
      <c r="V13" s="53">
        <f t="shared" si="18"/>
        <v>2.133489</v>
      </c>
      <c r="W13" s="53">
        <f t="shared" si="18"/>
        <v>-1.018174</v>
      </c>
      <c r="X13" s="53">
        <f t="shared" si="18"/>
        <v>0.1496082068</v>
      </c>
      <c r="Y13" s="53">
        <f t="shared" si="18"/>
        <v>-0.4076507932</v>
      </c>
    </row>
    <row r="14">
      <c r="B14" s="27" t="s">
        <v>38</v>
      </c>
      <c r="C14" s="54">
        <v>-1.348017</v>
      </c>
      <c r="D14" s="54">
        <v>2.408819</v>
      </c>
      <c r="E14" s="54">
        <v>2.541501</v>
      </c>
      <c r="F14" s="54">
        <v>-0.360179</v>
      </c>
      <c r="G14" s="54">
        <v>-1.091205</v>
      </c>
      <c r="H14" s="54">
        <v>1.3477</v>
      </c>
      <c r="I14" s="44">
        <v>-1.406633</v>
      </c>
      <c r="K14" s="54">
        <f t="shared" ref="K14:P14" si="19">($M$3-1)*C3</f>
        <v>0</v>
      </c>
      <c r="L14" s="54">
        <f t="shared" si="19"/>
        <v>-0.05601328628</v>
      </c>
      <c r="M14" s="54">
        <f t="shared" si="19"/>
        <v>0</v>
      </c>
      <c r="N14" s="54">
        <f t="shared" si="19"/>
        <v>0</v>
      </c>
      <c r="O14" s="54">
        <f t="shared" si="19"/>
        <v>0</v>
      </c>
      <c r="P14" s="54">
        <f t="shared" si="19"/>
        <v>-0.05601328628</v>
      </c>
      <c r="Q14" s="54">
        <f>($M$3-1)*1</f>
        <v>-0.05601328628</v>
      </c>
      <c r="S14" s="53">
        <f t="shared" ref="S14:Y14" si="20">C14-$T$10*K14</f>
        <v>-1.348017</v>
      </c>
      <c r="T14" s="53">
        <f t="shared" si="20"/>
        <v>2.436825643</v>
      </c>
      <c r="U14" s="53">
        <f t="shared" si="20"/>
        <v>2.541501</v>
      </c>
      <c r="V14" s="53">
        <f t="shared" si="20"/>
        <v>-0.360179</v>
      </c>
      <c r="W14" s="53">
        <f t="shared" si="20"/>
        <v>-1.091205</v>
      </c>
      <c r="X14" s="53">
        <f t="shared" si="20"/>
        <v>1.375706643</v>
      </c>
      <c r="Y14" s="53">
        <f t="shared" si="20"/>
        <v>-1.378626357</v>
      </c>
    </row>
    <row r="15">
      <c r="B15" s="52" t="s">
        <v>39</v>
      </c>
      <c r="C15" s="53">
        <v>1.510244</v>
      </c>
      <c r="D15" s="53">
        <v>-1.347458</v>
      </c>
      <c r="E15" s="53">
        <v>-0.017464</v>
      </c>
      <c r="F15" s="53">
        <v>-1.773311</v>
      </c>
      <c r="G15" s="53">
        <v>2.109379</v>
      </c>
      <c r="H15" s="53">
        <v>-1.509642</v>
      </c>
      <c r="I15" s="36">
        <v>1.801951</v>
      </c>
      <c r="K15" s="53">
        <f t="shared" ref="K15:M15" si="21">($N$3-0)*C3</f>
        <v>0</v>
      </c>
      <c r="L15" s="53">
        <f t="shared" si="21"/>
        <v>0.03134569984</v>
      </c>
      <c r="M15" s="53">
        <f t="shared" si="21"/>
        <v>0</v>
      </c>
      <c r="N15" s="53">
        <f>($N$3-1)*F3</f>
        <v>0</v>
      </c>
      <c r="O15" s="53">
        <f t="shared" ref="O15:P15" si="22">($N$3-0)*G3</f>
        <v>0</v>
      </c>
      <c r="P15" s="53">
        <f t="shared" si="22"/>
        <v>0.03134569984</v>
      </c>
      <c r="Q15" s="53">
        <f>($N$3-1)*1</f>
        <v>-0.9686543002</v>
      </c>
      <c r="S15" s="53">
        <f t="shared" ref="S15:Y15" si="23">C15-$T$10*K15</f>
        <v>1.510244</v>
      </c>
      <c r="T15" s="53">
        <f t="shared" si="23"/>
        <v>-1.36313085</v>
      </c>
      <c r="U15" s="53">
        <f t="shared" si="23"/>
        <v>-0.017464</v>
      </c>
      <c r="V15" s="53">
        <f t="shared" si="23"/>
        <v>-1.773311</v>
      </c>
      <c r="W15" s="53">
        <f t="shared" si="23"/>
        <v>2.109379</v>
      </c>
      <c r="X15" s="53">
        <f t="shared" si="23"/>
        <v>-1.52531485</v>
      </c>
      <c r="Y15" s="53">
        <f t="shared" si="23"/>
        <v>2.28627815</v>
      </c>
    </row>
    <row r="17">
      <c r="A17" s="19" t="s">
        <v>52</v>
      </c>
    </row>
    <row r="18">
      <c r="A18" s="19" t="s">
        <v>53</v>
      </c>
    </row>
    <row r="19">
      <c r="A19" s="19" t="s">
        <v>54</v>
      </c>
    </row>
    <row r="20">
      <c r="A20" s="19" t="s">
        <v>55</v>
      </c>
    </row>
    <row r="21">
      <c r="A21" s="19" t="s">
        <v>56</v>
      </c>
    </row>
  </sheetData>
  <mergeCells count="4">
    <mergeCell ref="C1:H1"/>
    <mergeCell ref="I1:K1"/>
    <mergeCell ref="L1:N1"/>
    <mergeCell ref="O1:Q1"/>
  </mergeCells>
  <drawing r:id="rId1"/>
</worksheet>
</file>