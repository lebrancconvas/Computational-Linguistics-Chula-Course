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<sst xmlns="http://schemas.openxmlformats.org/spreadsheetml/2006/main" count="142" uniqueCount="111">
  <si>
    <t>Name</t>
  </si>
  <si>
    <t>Error type</t>
  </si>
  <si>
    <t xml:space="preserve">Correct </t>
  </si>
  <si>
    <t>GPT2 LM score</t>
  </si>
  <si>
    <t>Grammatically incorrect</t>
  </si>
  <si>
    <t>GPT2 correctly catches errors</t>
  </si>
  <si>
    <t>Attapol</t>
  </si>
  <si>
    <t>article</t>
  </si>
  <si>
    <t>This essay will discuss the current issues of climate change</t>
  </si>
  <si>
    <t>This essay will discuss about current issues of climate change</t>
  </si>
  <si>
    <t>Kawinna</t>
  </si>
  <si>
    <t>word form</t>
  </si>
  <si>
    <t>He is the most intelligent of all the students</t>
  </si>
  <si>
    <t>He is more intelligent of all the students</t>
  </si>
  <si>
    <t>Siwak</t>
  </si>
  <si>
    <t>preposition</t>
  </si>
  <si>
    <t>A cat jumps on the table.</t>
  </si>
  <si>
    <t>A cat jumps in the table.</t>
  </si>
  <si>
    <t>Kornrawee</t>
  </si>
  <si>
    <t>agreement</t>
  </si>
  <si>
    <t>The quick brown fox jumps over the lazy dog</t>
  </si>
  <si>
    <t>The quick brown fox jump over the lazy dog</t>
  </si>
  <si>
    <t>Mussawee</t>
  </si>
  <si>
    <t>My dog's name is panda</t>
  </si>
  <si>
    <t>My dogs name is panda</t>
  </si>
  <si>
    <t>Patr</t>
  </si>
  <si>
    <t>The benefits of disclosing genetic risk information outweight the costs</t>
  </si>
  <si>
    <t>The benefits of disclosing genetic risk information outweights the costs.</t>
  </si>
  <si>
    <t>Bam</t>
  </si>
  <si>
    <t>tense</t>
  </si>
  <si>
    <t>I love to cook</t>
  </si>
  <si>
    <t>I loves to cook</t>
  </si>
  <si>
    <t>Karin</t>
  </si>
  <si>
    <t>I often go to the theater on weekend</t>
  </si>
  <si>
    <t>I often go to theater on weekend</t>
  </si>
  <si>
    <t>Pat</t>
  </si>
  <si>
    <t>I know she looking at you</t>
  </si>
  <si>
    <t>I know she looking you</t>
  </si>
  <si>
    <t>Farm</t>
  </si>
  <si>
    <t>She is good at math.</t>
  </si>
  <si>
    <t>She is good in math.</t>
  </si>
  <si>
    <t>Gam</t>
  </si>
  <si>
    <t>The boy's mind was opened by his tutor to a lively perception of things around him</t>
  </si>
  <si>
    <t>The boy's mind was opened by his tutor to a lively perceive of things around him</t>
  </si>
  <si>
    <t>Nattakitta</t>
  </si>
  <si>
    <t>He should schedule a meeting soon to discuss the project timeline and the budget requirements</t>
  </si>
  <si>
    <t>He should schedules a meeting soon to discuss the project timeline and the budget requirements</t>
  </si>
  <si>
    <t>Weerapap</t>
  </si>
  <si>
    <t>I love to travel to Japan every year</t>
  </si>
  <si>
    <t>I love to travel to Japan every years</t>
  </si>
  <si>
    <t>Worrachot</t>
  </si>
  <si>
    <t>My dentist said my teeth needed filling.</t>
  </si>
  <si>
    <t>My dentist said my teeths needed filling.</t>
  </si>
  <si>
    <t>Poom</t>
  </si>
  <si>
    <t>I like to play video games, and I also enjoy reading.</t>
  </si>
  <si>
    <t xml:space="preserve">I like to play video games, I also enjoy reading. </t>
  </si>
  <si>
    <t>Buatorng</t>
  </si>
  <si>
    <t>I love playing football.</t>
  </si>
  <si>
    <t>I love play football.</t>
  </si>
  <si>
    <t>View</t>
  </si>
  <si>
    <t>I am the strongest dinosour in this world</t>
  </si>
  <si>
    <t>I am the strongest dinosour under this world</t>
  </si>
  <si>
    <t>Panthawit</t>
  </si>
  <si>
    <t>A solar equinox is a moment in time when the Sun appears directly above the equator, rather than to its north or south.</t>
  </si>
  <si>
    <t>A solar equinox is a moment in time when a Sun appears directly above the equator, rather than to its north or south.</t>
  </si>
  <si>
    <t>Thanaphon</t>
  </si>
  <si>
    <t>Chulalongkorn University is one of the National Research Universities and supported by the Office of Nation Education Standards and Quality Assessment of Thailand.</t>
  </si>
  <si>
    <t>Chulalongkorn University is a one of the National Research Universities and is supported by a the Office of the Nation Education Standards and a Quality Assessment of the Thailand.</t>
  </si>
  <si>
    <t>Papatchol</t>
  </si>
  <si>
    <t>The end justifies the means.</t>
  </si>
  <si>
    <t>The end justify the means.</t>
  </si>
  <si>
    <t>Suwisit</t>
  </si>
  <si>
    <t>This palace was built in the middle age.</t>
  </si>
  <si>
    <t>This palace have built in the middle age.</t>
  </si>
  <si>
    <t>A little cat has diarrhea.</t>
  </si>
  <si>
    <t>A little cat have diarrhea.</t>
  </si>
  <si>
    <t>I was swimming in the pool.</t>
  </si>
  <si>
    <t>I was swimming on the pool.</t>
  </si>
  <si>
    <t>The police officer would like to arrest the thief.</t>
  </si>
  <si>
    <t>The police officer would like to catch the thief.</t>
  </si>
  <si>
    <t>Sira</t>
  </si>
  <si>
    <t>I was here 6 years ago.</t>
  </si>
  <si>
    <t>I were here 6 years ago.</t>
  </si>
  <si>
    <t>Ta</t>
  </si>
  <si>
    <t>He don’t know what they were talking about yesterday because nobody explain him clearly and he just sits there confused.</t>
  </si>
  <si>
    <t>He don’t knows what they was talking about yesterday because nobody explain him clearly and he just sit there confused.</t>
  </si>
  <si>
    <t>Mai</t>
  </si>
  <si>
    <t>Taylor Swift has released 12 album so far.</t>
  </si>
  <si>
    <t>Taylor Swift has released 12 albums so far.</t>
  </si>
  <si>
    <t>James</t>
  </si>
  <si>
    <t>May your woes be many, and your days few'</t>
  </si>
  <si>
    <t>May you're woes be many, and you're days few'</t>
  </si>
  <si>
    <t>Non</t>
  </si>
  <si>
    <t>They are going to the party later.</t>
  </si>
  <si>
    <t>Their going to the party later.</t>
  </si>
  <si>
    <t>Fern</t>
  </si>
  <si>
    <t>I want it that way</t>
  </si>
  <si>
    <t>I wants it that way</t>
  </si>
  <si>
    <t>Mei</t>
  </si>
  <si>
    <t>Last weekend, my friends and I went to the beach, where we enjoyed swimming, playing games, and watching the sunset together</t>
  </si>
  <si>
    <t>Last weekend, my friends and I go to the beach, where we enjoyed swimming, playing games, and watching the sunset together</t>
  </si>
  <si>
    <t>Keng</t>
  </si>
  <si>
    <t>She bought a new laptop yesterday.</t>
  </si>
  <si>
    <t>She bought new laptop yesterday.</t>
  </si>
  <si>
    <t>Panchita</t>
  </si>
  <si>
    <t>I try to spend less money this semester</t>
  </si>
  <si>
    <t>I try to spend fewer money this semester</t>
  </si>
  <si>
    <t>AK</t>
  </si>
  <si>
    <t>Preposition</t>
  </si>
  <si>
    <t>The company was founded in 1953.</t>
  </si>
  <si>
    <t>The company was founded at 1953.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</si>
</sst>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0.0"/>
      <color theme="1"/>
      <name val="Helvetica Neue"/>
    </font>
    <font>
      <color theme="1"/>
      <name val="Arial"/>
      <scheme val="minor"/>
    </font>
    <font>
      <sz val="10.0"/>
      <color theme="1"/>
      <name val="Helvetica Neue"/>
    </font>
    <font>
      <sz val="11.0"/>
      <color rgb="FF000000"/>
      <name val="Consolas"/>
    </font>
    <font>
      <sz val="11.0"/>
      <color rgb="FF1F1F1F"/>
      <name val="Monospace"/>
    </font>
    <font>
      <sz val="11.0"/>
      <color rgb="FF1F1F1F"/>
      <name val="Arial"/>
    </font>
    <font>
      <sz val="10.0"/>
      <color rgb="FF000000"/>
      <name val="Arial"/>
    </font>
    <font>
      <sz val="11.0"/>
      <color rgb="FF000000"/>
      <name val="Var(--colab-code-font-family)"/>
    </font>
    <font>
      <sz val="10.0"/>
      <color rgb="FF0A0A0A"/>
      <name val="Arial"/>
    </font>
    <font>
      <sz val="11.0"/>
      <color rgb="FF1F1F1F"/>
      <name val="Var(--colab-code-font-family)"/>
    </font>
    <font>
      <color rgb="FF000000"/>
      <name val="Arial"/>
      <scheme val="minor"/>
    </font>
    <font>
      <sz val="11.0"/>
      <color rgb="FF000000"/>
      <name val="Arial"/>
    </font>
    <font>
      <sz val="12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E"/>
        <bgColor rgb="FFFFFFFE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vertical="bottom" wrapText="1"/>
    </xf>
    <xf borderId="0" fillId="2" fontId="4" numFmtId="0" xfId="0" applyAlignment="1" applyFill="1" applyFont="1">
      <alignment readingOrder="0" shrinkToFit="0" wrapText="1"/>
    </xf>
    <xf borderId="0" fillId="3" fontId="5" numFmtId="2" xfId="0" applyAlignment="1" applyFill="1" applyFont="1" applyNumberFormat="1">
      <alignment readingOrder="0"/>
    </xf>
    <xf borderId="0" fillId="0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6" numFmtId="2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2" xfId="0" applyAlignment="1" applyFont="1" applyNumberFormat="1">
      <alignment horizontal="right" readingOrder="0" shrinkToFit="0" vertical="bottom" wrapText="1"/>
    </xf>
    <xf borderId="0" fillId="3" fontId="7" numFmtId="0" xfId="0" applyAlignment="1" applyFont="1">
      <alignment readingOrder="0"/>
    </xf>
    <xf borderId="0" fillId="0" fontId="8" numFmtId="2" xfId="0" applyAlignment="1" applyFont="1" applyNumberFormat="1">
      <alignment readingOrder="0"/>
    </xf>
    <xf borderId="0" fillId="0" fontId="0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9" numFmtId="0" xfId="0" applyAlignment="1" applyFont="1">
      <alignment horizontal="left" readingOrder="0"/>
    </xf>
    <xf borderId="0" fillId="0" fontId="10" numFmtId="2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3" fontId="12" numFmtId="0" xfId="0" applyAlignment="1" applyFont="1">
      <alignment readingOrder="0"/>
    </xf>
    <xf borderId="0" fillId="0" fontId="2" numFmtId="2" xfId="0" applyAlignment="1" applyFont="1" applyNumberFormat="1">
      <alignment readingOrder="0" shrinkToFit="0" wrapText="1"/>
    </xf>
    <xf borderId="0" fillId="3" fontId="5" numFmtId="0" xfId="0" applyAlignment="1" applyFont="1">
      <alignment readingOrder="0"/>
    </xf>
    <xf borderId="0" fillId="3" fontId="6" numFmtId="0" xfId="0" applyAlignment="1" applyFont="1">
      <alignment readingOrder="0"/>
    </xf>
    <xf borderId="0" fillId="0" fontId="13" numFmtId="0" xfId="0" applyAlignment="1" applyFont="1">
      <alignment readingOrder="0"/>
    </xf>
    <xf quotePrefix="1"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6.13"/>
    <col customWidth="1" min="3" max="3" width="51.5"/>
    <col customWidth="1" min="4" max="4" width="10.75"/>
    <col customWidth="1" min="5" max="5" width="53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3</v>
      </c>
      <c r="G1" s="1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6</v>
      </c>
      <c r="B2" s="5" t="s">
        <v>7</v>
      </c>
      <c r="C2" s="6" t="s">
        <v>8</v>
      </c>
      <c r="D2" s="7">
        <v>-3.6938808</v>
      </c>
      <c r="E2" s="6" t="s">
        <v>9</v>
      </c>
      <c r="F2" s="7">
        <v>-4.068077</v>
      </c>
      <c r="G2" s="8">
        <f t="shared" ref="G2:G35" si="1">IF(D2&gt;F2, 1, 0)</f>
        <v>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4" t="s">
        <v>10</v>
      </c>
      <c r="B3" s="9" t="s">
        <v>11</v>
      </c>
      <c r="C3" s="9" t="s">
        <v>12</v>
      </c>
      <c r="D3" s="7">
        <v>-3.1079001</v>
      </c>
      <c r="E3" s="9" t="s">
        <v>13</v>
      </c>
      <c r="F3" s="10">
        <v>-4.557907</v>
      </c>
      <c r="G3" s="8">
        <f t="shared" si="1"/>
        <v>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4" t="s">
        <v>14</v>
      </c>
      <c r="B4" s="9" t="s">
        <v>15</v>
      </c>
      <c r="C4" s="9" t="s">
        <v>16</v>
      </c>
      <c r="D4" s="11">
        <v>-4.811807</v>
      </c>
      <c r="E4" s="9" t="s">
        <v>17</v>
      </c>
      <c r="F4" s="11">
        <v>-5.8117433</v>
      </c>
      <c r="G4" s="8">
        <f t="shared" si="1"/>
        <v>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12" t="s">
        <v>18</v>
      </c>
      <c r="B5" s="12" t="s">
        <v>19</v>
      </c>
      <c r="C5" s="12" t="s">
        <v>20</v>
      </c>
      <c r="D5" s="13">
        <v>-5.74</v>
      </c>
      <c r="E5" s="12" t="s">
        <v>21</v>
      </c>
      <c r="F5" s="13">
        <v>-5.43</v>
      </c>
      <c r="G5" s="8">
        <f t="shared" si="1"/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12" t="s">
        <v>22</v>
      </c>
      <c r="B6" s="12" t="s">
        <v>11</v>
      </c>
      <c r="C6" s="14" t="s">
        <v>23</v>
      </c>
      <c r="D6" s="15">
        <v>-4.412403</v>
      </c>
      <c r="E6" s="16" t="s">
        <v>24</v>
      </c>
      <c r="F6" s="15">
        <v>-6.299695</v>
      </c>
      <c r="G6" s="8">
        <f t="shared" si="1"/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12" t="s">
        <v>25</v>
      </c>
      <c r="B7" s="12" t="s">
        <v>19</v>
      </c>
      <c r="C7" s="17" t="s">
        <v>26</v>
      </c>
      <c r="D7" s="13">
        <v>-6.19</v>
      </c>
      <c r="E7" s="17" t="s">
        <v>27</v>
      </c>
      <c r="F7" s="13">
        <v>-5.77</v>
      </c>
      <c r="G7" s="8">
        <f t="shared" si="1"/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12" t="s">
        <v>28</v>
      </c>
      <c r="B8" s="12" t="s">
        <v>29</v>
      </c>
      <c r="C8" s="12" t="s">
        <v>30</v>
      </c>
      <c r="D8" s="11">
        <v>-4.900343</v>
      </c>
      <c r="E8" s="12" t="s">
        <v>31</v>
      </c>
      <c r="F8" s="11">
        <v>-5.5183983</v>
      </c>
      <c r="G8" s="8">
        <f t="shared" si="1"/>
        <v>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12" t="s">
        <v>32</v>
      </c>
      <c r="B9" s="12" t="s">
        <v>7</v>
      </c>
      <c r="C9" s="12" t="s">
        <v>33</v>
      </c>
      <c r="D9" s="13">
        <v>-5.668537</v>
      </c>
      <c r="E9" s="12" t="s">
        <v>34</v>
      </c>
      <c r="F9" s="13">
        <v>-6.6576333</v>
      </c>
      <c r="G9" s="8">
        <f t="shared" si="1"/>
        <v>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12" t="s">
        <v>35</v>
      </c>
      <c r="B10" s="12" t="s">
        <v>15</v>
      </c>
      <c r="C10" s="12" t="s">
        <v>36</v>
      </c>
      <c r="D10" s="13">
        <v>-5.47</v>
      </c>
      <c r="E10" s="12" t="s">
        <v>37</v>
      </c>
      <c r="F10" s="13">
        <v>-7.7</v>
      </c>
      <c r="G10" s="8">
        <f t="shared" si="1"/>
        <v>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12" t="s">
        <v>38</v>
      </c>
      <c r="B11" s="12" t="s">
        <v>15</v>
      </c>
      <c r="C11" s="17" t="s">
        <v>39</v>
      </c>
      <c r="D11" s="7">
        <v>-3.3156567</v>
      </c>
      <c r="E11" s="17" t="s">
        <v>40</v>
      </c>
      <c r="F11" s="7">
        <v>-4.525821</v>
      </c>
      <c r="G11" s="8">
        <f t="shared" si="1"/>
        <v>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12" t="s">
        <v>41</v>
      </c>
      <c r="B12" s="12" t="s">
        <v>11</v>
      </c>
      <c r="C12" s="12" t="s">
        <v>42</v>
      </c>
      <c r="D12" s="13">
        <v>-4.62</v>
      </c>
      <c r="E12" s="12" t="s">
        <v>43</v>
      </c>
      <c r="F12" s="13">
        <v>-5.36</v>
      </c>
      <c r="G12" s="8">
        <f t="shared" si="1"/>
        <v>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12" t="s">
        <v>44</v>
      </c>
      <c r="B13" s="12" t="s">
        <v>11</v>
      </c>
      <c r="C13" s="12" t="s">
        <v>45</v>
      </c>
      <c r="D13" s="7">
        <v>-4.24114</v>
      </c>
      <c r="E13" s="12" t="s">
        <v>46</v>
      </c>
      <c r="F13" s="7">
        <v>-4.8459544</v>
      </c>
      <c r="G13" s="8">
        <f t="shared" si="1"/>
        <v>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12" t="s">
        <v>47</v>
      </c>
      <c r="B14" s="12" t="s">
        <v>19</v>
      </c>
      <c r="C14" s="12" t="s">
        <v>48</v>
      </c>
      <c r="D14" s="13">
        <v>-4.26402</v>
      </c>
      <c r="E14" s="12" t="s">
        <v>49</v>
      </c>
      <c r="F14" s="13">
        <v>-5.4082756</v>
      </c>
      <c r="G14" s="8">
        <f t="shared" si="1"/>
        <v>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12" t="s">
        <v>50</v>
      </c>
      <c r="B15" s="12" t="s">
        <v>11</v>
      </c>
      <c r="C15" s="18" t="s">
        <v>51</v>
      </c>
      <c r="D15" s="19">
        <v>-4.877649</v>
      </c>
      <c r="E15" s="18" t="s">
        <v>52</v>
      </c>
      <c r="F15" s="19">
        <v>-5.72804</v>
      </c>
      <c r="G15" s="8">
        <f t="shared" si="1"/>
        <v>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12" t="s">
        <v>53</v>
      </c>
      <c r="B16" s="12" t="s">
        <v>15</v>
      </c>
      <c r="C16" s="20" t="s">
        <v>54</v>
      </c>
      <c r="D16" s="13">
        <v>-2.73</v>
      </c>
      <c r="E16" s="20" t="s">
        <v>55</v>
      </c>
      <c r="F16" s="13">
        <v>-3.32</v>
      </c>
      <c r="G16" s="8">
        <f t="shared" si="1"/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12" t="s">
        <v>56</v>
      </c>
      <c r="B17" s="12" t="s">
        <v>19</v>
      </c>
      <c r="C17" s="17" t="s">
        <v>57</v>
      </c>
      <c r="D17" s="10">
        <v>-4.9997735</v>
      </c>
      <c r="E17" s="17" t="s">
        <v>58</v>
      </c>
      <c r="F17" s="10">
        <v>-6.3747845</v>
      </c>
      <c r="G17" s="8">
        <f t="shared" si="1"/>
        <v>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12" t="s">
        <v>59</v>
      </c>
      <c r="B18" s="12" t="s">
        <v>29</v>
      </c>
      <c r="C18" s="21" t="s">
        <v>60</v>
      </c>
      <c r="D18" s="7">
        <v>-5.875164</v>
      </c>
      <c r="E18" s="21" t="s">
        <v>61</v>
      </c>
      <c r="F18" s="7">
        <v>-6.052191</v>
      </c>
      <c r="G18" s="8">
        <f t="shared" si="1"/>
        <v>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12" t="s">
        <v>62</v>
      </c>
      <c r="B19" s="12" t="s">
        <v>7</v>
      </c>
      <c r="C19" s="12" t="s">
        <v>63</v>
      </c>
      <c r="D19" s="7">
        <v>-3.030296</v>
      </c>
      <c r="E19" s="12" t="s">
        <v>64</v>
      </c>
      <c r="F19" s="7">
        <v>-3.19</v>
      </c>
      <c r="G19" s="8">
        <f t="shared" si="1"/>
        <v>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12" t="s">
        <v>65</v>
      </c>
      <c r="B20" s="12" t="s">
        <v>7</v>
      </c>
      <c r="C20" s="12" t="s">
        <v>66</v>
      </c>
      <c r="D20" s="22">
        <v>-4.3562927</v>
      </c>
      <c r="E20" s="12" t="s">
        <v>67</v>
      </c>
      <c r="F20" s="22">
        <v>-4.3499217</v>
      </c>
      <c r="G20" s="8">
        <f t="shared" si="1"/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12" t="s">
        <v>68</v>
      </c>
      <c r="B21" s="12" t="s">
        <v>19</v>
      </c>
      <c r="C21" s="12" t="s">
        <v>69</v>
      </c>
      <c r="D21" s="12">
        <v>-3.5</v>
      </c>
      <c r="E21" s="12" t="s">
        <v>70</v>
      </c>
      <c r="F21" s="12">
        <v>-4.38</v>
      </c>
      <c r="G21" s="8">
        <f t="shared" si="1"/>
        <v>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12" t="s">
        <v>71</v>
      </c>
      <c r="B22" s="12" t="s">
        <v>29</v>
      </c>
      <c r="C22" s="12" t="s">
        <v>72</v>
      </c>
      <c r="D22" s="23">
        <v>-4.117364</v>
      </c>
      <c r="E22" s="12" t="s">
        <v>73</v>
      </c>
      <c r="F22" s="23">
        <v>-5.534316</v>
      </c>
      <c r="G22" s="8">
        <f t="shared" si="1"/>
        <v>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12" t="s">
        <v>71</v>
      </c>
      <c r="B23" s="12" t="s">
        <v>19</v>
      </c>
      <c r="C23" s="12" t="s">
        <v>74</v>
      </c>
      <c r="D23" s="24">
        <v>-6.5377793</v>
      </c>
      <c r="E23" s="12" t="s">
        <v>75</v>
      </c>
      <c r="F23" s="12">
        <v>-7.1928673</v>
      </c>
      <c r="G23" s="8">
        <f t="shared" si="1"/>
        <v>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12" t="s">
        <v>71</v>
      </c>
      <c r="B24" s="12" t="s">
        <v>15</v>
      </c>
      <c r="C24" s="12" t="s">
        <v>76</v>
      </c>
      <c r="D24" s="12">
        <v>-3.5814965</v>
      </c>
      <c r="E24" s="12" t="s">
        <v>77</v>
      </c>
      <c r="F24" s="23">
        <v>-4.1781764</v>
      </c>
      <c r="G24" s="8">
        <f t="shared" si="1"/>
        <v>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12" t="s">
        <v>71</v>
      </c>
      <c r="B25" s="12" t="s">
        <v>11</v>
      </c>
      <c r="C25" s="12" t="s">
        <v>78</v>
      </c>
      <c r="D25" s="12">
        <v>-4.484784</v>
      </c>
      <c r="E25" s="12" t="s">
        <v>79</v>
      </c>
      <c r="F25" s="12">
        <v>-4.2974424</v>
      </c>
      <c r="G25" s="8">
        <f t="shared" si="1"/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12" t="s">
        <v>80</v>
      </c>
      <c r="B26" s="12" t="s">
        <v>19</v>
      </c>
      <c r="C26" s="12" t="s">
        <v>81</v>
      </c>
      <c r="D26" s="12">
        <v>-4.0</v>
      </c>
      <c r="E26" s="12" t="s">
        <v>82</v>
      </c>
      <c r="F26" s="12">
        <v>-4.33</v>
      </c>
      <c r="G26" s="8">
        <f t="shared" si="1"/>
        <v>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12" t="s">
        <v>83</v>
      </c>
      <c r="B27" s="3"/>
      <c r="C27" s="25" t="s">
        <v>84</v>
      </c>
      <c r="D27" s="12">
        <v>4.6</v>
      </c>
      <c r="E27" s="12" t="s">
        <v>85</v>
      </c>
      <c r="F27" s="12">
        <v>-5.24</v>
      </c>
      <c r="G27" s="8">
        <f t="shared" si="1"/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12" t="s">
        <v>86</v>
      </c>
      <c r="B28" s="12" t="s">
        <v>11</v>
      </c>
      <c r="C28" s="12" t="s">
        <v>87</v>
      </c>
      <c r="D28" s="12">
        <v>-5.6</v>
      </c>
      <c r="E28" s="12" t="s">
        <v>88</v>
      </c>
      <c r="F28" s="12">
        <v>-4.78</v>
      </c>
      <c r="G28" s="8">
        <f t="shared" si="1"/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12" t="s">
        <v>89</v>
      </c>
      <c r="B29" s="12" t="s">
        <v>11</v>
      </c>
      <c r="C29" s="26" t="s">
        <v>90</v>
      </c>
      <c r="D29" s="12">
        <v>-4.93779</v>
      </c>
      <c r="E29" s="26" t="s">
        <v>91</v>
      </c>
      <c r="F29" s="12">
        <v>-7.583763</v>
      </c>
      <c r="G29" s="8">
        <f t="shared" si="1"/>
        <v>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12" t="s">
        <v>92</v>
      </c>
      <c r="B30" s="12" t="s">
        <v>19</v>
      </c>
      <c r="C30" s="12" t="s">
        <v>93</v>
      </c>
      <c r="D30" s="12">
        <v>-4.045517</v>
      </c>
      <c r="E30" s="12" t="s">
        <v>94</v>
      </c>
      <c r="F30" s="12">
        <v>-4.473026</v>
      </c>
      <c r="G30" s="8">
        <f t="shared" si="1"/>
        <v>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12" t="s">
        <v>95</v>
      </c>
      <c r="B31" s="12" t="s">
        <v>19</v>
      </c>
      <c r="C31" s="12" t="s">
        <v>96</v>
      </c>
      <c r="D31" s="12">
        <v>-3.8128166</v>
      </c>
      <c r="E31" s="12" t="s">
        <v>97</v>
      </c>
      <c r="F31" s="12">
        <v>-4.169323</v>
      </c>
      <c r="G31" s="8">
        <f t="shared" si="1"/>
        <v>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12" t="s">
        <v>98</v>
      </c>
      <c r="B32" s="12" t="s">
        <v>29</v>
      </c>
      <c r="C32" s="12" t="s">
        <v>99</v>
      </c>
      <c r="D32" s="12">
        <v>-2.9305382</v>
      </c>
      <c r="E32" s="12" t="s">
        <v>100</v>
      </c>
      <c r="F32" s="12">
        <v>-3.194189</v>
      </c>
      <c r="G32" s="8">
        <f t="shared" si="1"/>
        <v>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12" t="s">
        <v>101</v>
      </c>
      <c r="B33" s="12" t="s">
        <v>7</v>
      </c>
      <c r="C33" s="12" t="s">
        <v>102</v>
      </c>
      <c r="D33" s="16">
        <v>-4.2205997</v>
      </c>
      <c r="E33" s="12" t="s">
        <v>103</v>
      </c>
      <c r="F33" s="12">
        <v>-5.8564057</v>
      </c>
      <c r="G33" s="8">
        <f t="shared" si="1"/>
        <v>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12" t="s">
        <v>104</v>
      </c>
      <c r="B34" s="12" t="s">
        <v>19</v>
      </c>
      <c r="C34" s="12" t="s">
        <v>105</v>
      </c>
      <c r="D34" s="24">
        <v>-4.7170334</v>
      </c>
      <c r="E34" s="12" t="s">
        <v>106</v>
      </c>
      <c r="F34" s="24">
        <v>-5.504875</v>
      </c>
      <c r="G34" s="8">
        <f t="shared" si="1"/>
        <v>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12" t="s">
        <v>107</v>
      </c>
      <c r="B35" s="12" t="s">
        <v>108</v>
      </c>
      <c r="C35" s="21" t="s">
        <v>109</v>
      </c>
      <c r="D35" s="23">
        <v>-3.8011136</v>
      </c>
      <c r="E35" s="21" t="s">
        <v>110</v>
      </c>
      <c r="F35" s="23">
        <v>-5.5229425</v>
      </c>
      <c r="G35" s="8">
        <f t="shared" si="1"/>
        <v>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3"/>
      <c r="B36" s="3"/>
      <c r="C36" s="3"/>
      <c r="D36" s="3"/>
      <c r="E36" s="3"/>
      <c r="F36" s="3"/>
      <c r="G36" s="3">
        <f>AVERAGE(G2:G35)</f>
        <v>0.8529411765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</sheetData>
  <dataValidations>
    <dataValidation type="list" allowBlank="1" sqref="B2:B941">
      <formula1>"preposition,tense,agreement,word form,article"</formula1>
    </dataValidation>
  </dataValidations>
  <drawing r:id="rId1"/>
</worksheet>
</file>