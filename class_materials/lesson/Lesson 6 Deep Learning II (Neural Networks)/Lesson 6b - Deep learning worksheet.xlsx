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forward" sheetId="1" r:id="rId5"/>
  </sheets>
  <definedNames/>
  <calcPr/>
</workbook>
</file>

<file path=xl/sharedStrings.xml><?xml version="1.0" encoding="utf-8"?>
<sst xmlns="http://schemas.openxmlformats.org/spreadsheetml/2006/main" count="54" uniqueCount="37">
  <si>
    <t>Tokens</t>
  </si>
  <si>
    <t>Embedding</t>
  </si>
  <si>
    <t>Indices</t>
  </si>
  <si>
    <t>Length</t>
  </si>
  <si>
    <t>Feature vector / sentence embedding</t>
  </si>
  <si>
    <t>(dense) output layer</t>
  </si>
  <si>
    <t>bias</t>
  </si>
  <si>
    <t>Wx</t>
  </si>
  <si>
    <t>Wx+b</t>
  </si>
  <si>
    <t>probability</t>
  </si>
  <si>
    <t>นางงาม</t>
  </si>
  <si>
    <t>&lt;PAD&gt;</t>
  </si>
  <si>
    <t>positive</t>
  </si>
  <si>
    <t>ปี</t>
  </si>
  <si>
    <t>ขาย</t>
  </si>
  <si>
    <t>negative</t>
  </si>
  <si>
    <t>นี้</t>
  </si>
  <si>
    <t>ชา</t>
  </si>
  <si>
    <t>neutral</t>
  </si>
  <si>
    <t>เนี่ย</t>
  </si>
  <si>
    <t>ดื่ม</t>
  </si>
  <si>
    <t>สวย</t>
  </si>
  <si>
    <t>ตรงไหน</t>
  </si>
  <si>
    <t>หรา</t>
  </si>
  <si>
    <t>เน้น</t>
  </si>
  <si>
    <t>ร้าน</t>
  </si>
  <si>
    <t>เป็น</t>
  </si>
  <si>
    <t>หรู</t>
  </si>
  <si>
    <t>[2,3]</t>
  </si>
  <si>
    <t>เหรอ</t>
  </si>
  <si>
    <t>อยู่</t>
  </si>
  <si>
    <t>truncated</t>
  </si>
  <si>
    <t>อะไร</t>
  </si>
  <si>
    <t>&lt;UNK&gt;</t>
  </si>
  <si>
    <t>[2, 7, 4]</t>
  </si>
  <si>
    <t>[2, 7]</t>
  </si>
  <si>
    <t>[2,4]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</si>
</sst>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0.0"/>
      <color rgb="FF000000"/>
      <name val="Arial"/>
      <scheme val="minor"/>
    </font>
    <font>
      <sz val="12.0"/>
      <color theme="1"/>
      <name val="Helvetica Neue"/>
    </font>
    <font>
      <b/>
      <sz val="12.0"/>
      <color theme="1"/>
      <name val="Helvetica Neue"/>
    </font>
    <font>
      <sz val="12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6">
    <border/>
    <border>
      <left style="thin">
        <color rgb="FF5F5F5F"/>
      </left>
      <right style="thin">
        <color rgb="FFB8B8B8"/>
      </right>
      <bottom style="thin">
        <color rgb="FFB8B8B8"/>
      </bottom>
    </border>
    <border>
      <right style="thin">
        <color rgb="FFB8B8B8"/>
      </right>
      <bottom style="thin">
        <color rgb="FFB8B8B8"/>
      </bottom>
    </border>
    <border>
      <bottom style="thin">
        <color rgb="FFB8B8B8"/>
      </bottom>
    </border>
    <border>
      <left style="thin">
        <color rgb="FF5F5F5F"/>
      </left>
      <right style="thin">
        <color rgb="FFB8B8B8"/>
      </right>
      <bottom style="thin">
        <color rgb="FF5F5F5F"/>
      </bottom>
    </border>
    <border>
      <right style="thin">
        <color rgb="FFB8B8B8"/>
      </right>
      <bottom style="thin">
        <color rgb="FF5F5F5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vertical="top"/>
    </xf>
    <xf borderId="2" fillId="0" fontId="3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left" readingOrder="0" vertical="top"/>
    </xf>
    <xf borderId="2" fillId="0" fontId="3" numFmtId="2" xfId="0" applyAlignment="1" applyBorder="1" applyFont="1" applyNumberFormat="1">
      <alignment horizontal="center" readingOrder="0" vertical="top"/>
    </xf>
    <xf borderId="0" fillId="0" fontId="1" numFmtId="2" xfId="0" applyFont="1" applyNumberFormat="1"/>
    <xf borderId="0" fillId="0" fontId="1" numFmtId="164" xfId="0" applyFont="1" applyNumberFormat="1"/>
    <xf borderId="0" fillId="0" fontId="1" numFmtId="165" xfId="0" applyFont="1" applyNumberFormat="1"/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center" readingOrder="0" vertical="top"/>
    </xf>
    <xf borderId="5" fillId="0" fontId="3" numFmtId="0" xfId="0" applyAlignment="1" applyBorder="1" applyFont="1">
      <alignment horizontal="center" readingOrder="0" vertical="top"/>
    </xf>
    <xf borderId="5" fillId="0" fontId="3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5.63"/>
    <col customWidth="1" min="3" max="3" width="9.88"/>
    <col customWidth="1" min="4" max="4" width="3.25"/>
    <col customWidth="1" min="5" max="12" width="5.63"/>
    <col customWidth="1" min="13" max="14" width="4.88"/>
    <col customWidth="1" min="15" max="15" width="5.63"/>
    <col customWidth="1" min="16" max="16" width="6.25"/>
    <col customWidth="1" min="17" max="17" width="9.0"/>
    <col customWidth="1" min="18" max="20" width="7.13"/>
    <col customWidth="1" min="21" max="22" width="9.25"/>
    <col customWidth="1" min="23" max="23" width="7.63"/>
    <col customWidth="1" min="24" max="25" width="5.75"/>
    <col customWidth="1" min="26" max="26" width="5.63"/>
    <col customWidth="1" min="27" max="27" width="7.13"/>
    <col customWidth="1" min="28" max="28" width="5.63"/>
    <col customWidth="1" min="29" max="29" width="7.13"/>
    <col customWidth="1" min="30" max="30" width="6.75"/>
    <col customWidth="1" min="31" max="31" width="8.25"/>
    <col customWidth="1" min="32" max="33" width="10.38"/>
  </cols>
  <sheetData>
    <row r="1">
      <c r="A1" s="1" t="s">
        <v>0</v>
      </c>
      <c r="B1" s="2"/>
      <c r="D1" s="1" t="s">
        <v>1</v>
      </c>
      <c r="E1" s="2"/>
      <c r="F1" s="2"/>
      <c r="G1" s="2"/>
      <c r="H1" s="2"/>
      <c r="I1" s="2"/>
      <c r="J1" s="1" t="s">
        <v>2</v>
      </c>
      <c r="K1" s="2"/>
      <c r="L1" s="2"/>
      <c r="M1" s="2"/>
      <c r="N1" s="2"/>
      <c r="O1" s="2"/>
      <c r="P1" s="1" t="s">
        <v>3</v>
      </c>
      <c r="Q1" s="1" t="s">
        <v>4</v>
      </c>
      <c r="R1" s="2"/>
      <c r="S1" s="2"/>
      <c r="T1" s="2"/>
      <c r="U1" s="2"/>
      <c r="V1" s="2"/>
      <c r="W1" s="3" t="s">
        <v>5</v>
      </c>
      <c r="X1" s="4"/>
      <c r="Y1" s="4"/>
      <c r="Z1" s="2"/>
      <c r="AA1" s="2"/>
      <c r="AB1" s="1" t="s">
        <v>6</v>
      </c>
      <c r="AC1" s="2"/>
      <c r="AD1" s="1" t="s">
        <v>7</v>
      </c>
      <c r="AE1" s="1" t="s">
        <v>8</v>
      </c>
      <c r="AF1" s="1" t="s">
        <v>9</v>
      </c>
      <c r="AH1" s="2"/>
      <c r="AI1" s="2"/>
      <c r="AJ1" s="2"/>
      <c r="AK1" s="2"/>
      <c r="AL1" s="2"/>
      <c r="AM1" s="2"/>
      <c r="AN1" s="2"/>
    </row>
    <row r="2">
      <c r="A2" s="5" t="s">
        <v>10</v>
      </c>
      <c r="B2" s="6"/>
      <c r="C2" s="7" t="s">
        <v>11</v>
      </c>
      <c r="D2" s="6">
        <v>0.0</v>
      </c>
      <c r="E2" s="8">
        <v>0.0</v>
      </c>
      <c r="F2" s="8">
        <v>0.0</v>
      </c>
      <c r="G2" s="8">
        <v>0.0</v>
      </c>
      <c r="H2" s="8">
        <v>0.0</v>
      </c>
      <c r="I2" s="6"/>
      <c r="J2" s="5">
        <f t="shared" ref="J2:J6" si="3">XLOOKUP(A2,$C$2:$C$17,$D$2:$D$17)</f>
        <v>5</v>
      </c>
      <c r="K2" s="6"/>
      <c r="L2" s="8">
        <f t="shared" ref="L2:O2" si="1">XLOOKUP($J2,$D$2:$D$18,E$2:E$18)</f>
        <v>-0.3091317798</v>
      </c>
      <c r="M2" s="8">
        <f t="shared" si="1"/>
        <v>0.8899969616</v>
      </c>
      <c r="N2" s="8">
        <f t="shared" si="1"/>
        <v>0.08155624091</v>
      </c>
      <c r="O2" s="8">
        <f t="shared" si="1"/>
        <v>-0.9681670952</v>
      </c>
      <c r="P2" s="1">
        <v>5.0</v>
      </c>
      <c r="Q2" s="9">
        <f>SUM(L2:L7)/P2</f>
        <v>-0.2477683126</v>
      </c>
      <c r="R2" s="9">
        <f t="shared" ref="R2:T2" si="2">SUM(M2:M7)/6</f>
        <v>-0.02207821997</v>
      </c>
      <c r="S2" s="9">
        <f t="shared" si="2"/>
        <v>0.082630711</v>
      </c>
      <c r="T2" s="9">
        <f t="shared" si="2"/>
        <v>-0.07180570907</v>
      </c>
      <c r="U2" s="1"/>
      <c r="V2" s="1" t="s">
        <v>12</v>
      </c>
      <c r="W2" s="9">
        <v>-0.5073606219076048</v>
      </c>
      <c r="X2" s="9">
        <v>-0.6962951871083409</v>
      </c>
      <c r="Y2" s="9">
        <v>-0.38769771449854074</v>
      </c>
      <c r="Z2" s="9">
        <v>-0.7559162930638574</v>
      </c>
      <c r="AA2" s="2"/>
      <c r="AB2" s="9">
        <v>0.12888249091494064</v>
      </c>
      <c r="AC2" s="2"/>
      <c r="AD2" s="10">
        <f t="array" ref="AD2:AD4">MMULT($W$2:$Z$4,TRANSPOSE(Q2:T2)) </f>
        <v>0.1633242111</v>
      </c>
      <c r="AE2" s="10">
        <f t="shared" ref="AE2:AE4" si="5">AD2+$AB2</f>
        <v>0.292206702</v>
      </c>
      <c r="AF2" s="11">
        <f t="shared" ref="AF2:AF4" si="6">EXP(AE2)/SUM(EXP(AE2)+EXP(AE3)+EXP(AE4))</f>
        <v>0.427337954</v>
      </c>
      <c r="AG2" s="11"/>
      <c r="AH2" s="2"/>
      <c r="AI2" s="2"/>
      <c r="AJ2" s="2"/>
      <c r="AK2" s="2"/>
      <c r="AL2" s="2"/>
      <c r="AM2" s="2"/>
      <c r="AN2" s="2"/>
    </row>
    <row r="3">
      <c r="A3" s="5" t="s">
        <v>13</v>
      </c>
      <c r="B3" s="6"/>
      <c r="C3" s="7" t="s">
        <v>14</v>
      </c>
      <c r="D3" s="6">
        <v>1.0</v>
      </c>
      <c r="E3" s="8">
        <v>-0.32794971515666127</v>
      </c>
      <c r="F3" s="8">
        <v>-0.011229017251704443</v>
      </c>
      <c r="G3" s="8">
        <v>-0.23336306846725852</v>
      </c>
      <c r="H3" s="8">
        <v>-0.09538818111147274</v>
      </c>
      <c r="I3" s="6"/>
      <c r="J3" s="5">
        <f t="shared" si="3"/>
        <v>9</v>
      </c>
      <c r="K3" s="6"/>
      <c r="L3" s="8">
        <f t="shared" ref="L3:O3" si="4">XLOOKUP($J3,$D$2:$D$18,E$2:E$18)</f>
        <v>-0.4489243726</v>
      </c>
      <c r="M3" s="8">
        <f t="shared" si="4"/>
        <v>-0.8928918736</v>
      </c>
      <c r="N3" s="8">
        <f t="shared" si="4"/>
        <v>0.3566590274</v>
      </c>
      <c r="O3" s="8">
        <f t="shared" si="4"/>
        <v>-0.240009522</v>
      </c>
      <c r="P3" s="2"/>
      <c r="Q3" s="2"/>
      <c r="R3" s="2"/>
      <c r="S3" s="2"/>
      <c r="T3" s="2"/>
      <c r="U3" s="1"/>
      <c r="V3" s="1" t="s">
        <v>15</v>
      </c>
      <c r="W3" s="9">
        <v>-0.27403011869091154</v>
      </c>
      <c r="X3" s="9">
        <v>0.22937724742951393</v>
      </c>
      <c r="Y3" s="9">
        <v>-0.5820573274497087</v>
      </c>
      <c r="Z3" s="9">
        <v>0.18438761627008748</v>
      </c>
      <c r="AA3" s="2"/>
      <c r="AB3" s="9">
        <v>0.31875294900724627</v>
      </c>
      <c r="AC3" s="2"/>
      <c r="AD3" s="10">
        <v>0.0014958444557820194</v>
      </c>
      <c r="AE3" s="10">
        <f t="shared" si="5"/>
        <v>0.3202487935</v>
      </c>
      <c r="AF3" s="11">
        <f t="shared" si="6"/>
        <v>0.4928583887</v>
      </c>
      <c r="AG3" s="11"/>
      <c r="AH3" s="2"/>
      <c r="AI3" s="2"/>
      <c r="AJ3" s="2"/>
      <c r="AK3" s="2"/>
      <c r="AL3" s="2"/>
      <c r="AM3" s="2"/>
      <c r="AN3" s="2"/>
    </row>
    <row r="4">
      <c r="A4" s="5" t="s">
        <v>16</v>
      </c>
      <c r="B4" s="6"/>
      <c r="C4" s="7" t="s">
        <v>17</v>
      </c>
      <c r="D4" s="6">
        <v>2.0</v>
      </c>
      <c r="E4" s="8">
        <v>-0.5883854292938582</v>
      </c>
      <c r="F4" s="8">
        <v>-0.9187100376255979</v>
      </c>
      <c r="G4" s="8">
        <v>-0.8432984382283668</v>
      </c>
      <c r="H4" s="8">
        <v>-0.53213728433309</v>
      </c>
      <c r="I4" s="6"/>
      <c r="J4" s="5">
        <f t="shared" si="3"/>
        <v>6</v>
      </c>
      <c r="K4" s="6"/>
      <c r="L4" s="8">
        <f t="shared" ref="L4:O4" si="7">XLOOKUP($J4,$D$2:$D$18,E$2:E$18)</f>
        <v>0.3581528618</v>
      </c>
      <c r="M4" s="8">
        <f t="shared" si="7"/>
        <v>-0.7161012402</v>
      </c>
      <c r="N4" s="8">
        <f t="shared" si="7"/>
        <v>0.07712753251</v>
      </c>
      <c r="O4" s="8">
        <f t="shared" si="7"/>
        <v>0.8271436173</v>
      </c>
      <c r="P4" s="2"/>
      <c r="Q4" s="2"/>
      <c r="R4" s="2"/>
      <c r="S4" s="2"/>
      <c r="T4" s="2"/>
      <c r="U4" s="2"/>
      <c r="V4" s="1" t="s">
        <v>18</v>
      </c>
      <c r="W4" s="9">
        <v>-0.22477607542338385</v>
      </c>
      <c r="X4" s="9">
        <v>0.7090215216404265</v>
      </c>
      <c r="Y4" s="9">
        <v>-0.5002389502706168</v>
      </c>
      <c r="Z4" s="9">
        <v>0.6982738891182696</v>
      </c>
      <c r="AA4" s="2"/>
      <c r="AB4" s="9">
        <v>-0.8222974473318008</v>
      </c>
      <c r="AC4" s="2"/>
      <c r="AD4" s="10">
        <v>-0.05143669605419783</v>
      </c>
      <c r="AE4" s="10">
        <f t="shared" si="5"/>
        <v>-0.8737341434</v>
      </c>
      <c r="AF4" s="11">
        <f t="shared" si="6"/>
        <v>0.1726614383</v>
      </c>
      <c r="AG4" s="2"/>
      <c r="AH4" s="2"/>
      <c r="AI4" s="2"/>
      <c r="AJ4" s="2"/>
      <c r="AK4" s="2"/>
      <c r="AL4" s="2"/>
      <c r="AM4" s="2"/>
      <c r="AN4" s="2"/>
    </row>
    <row r="5">
      <c r="A5" s="5" t="s">
        <v>19</v>
      </c>
      <c r="B5" s="6"/>
      <c r="C5" s="7" t="s">
        <v>20</v>
      </c>
      <c r="D5" s="6">
        <v>3.0</v>
      </c>
      <c r="E5" s="8">
        <v>0.5812871956563033</v>
      </c>
      <c r="F5" s="8">
        <v>-0.8078039324162167</v>
      </c>
      <c r="G5" s="8">
        <v>0.6263965762262051</v>
      </c>
      <c r="H5" s="8">
        <v>0.3303449282412452</v>
      </c>
      <c r="I5" s="6"/>
      <c r="J5" s="5">
        <f t="shared" si="3"/>
        <v>7</v>
      </c>
      <c r="K5" s="6"/>
      <c r="L5" s="8">
        <f t="shared" ref="L5:O5" si="8">XLOOKUP($J5,$D$2:$D$18,E$2:E$18)</f>
        <v>-0.219167252</v>
      </c>
      <c r="M5" s="8">
        <f t="shared" si="8"/>
        <v>0.79123695</v>
      </c>
      <c r="N5" s="8">
        <f t="shared" si="8"/>
        <v>-0.01580566876</v>
      </c>
      <c r="O5" s="8">
        <f t="shared" si="8"/>
        <v>0.6214081034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>
      <c r="A6" s="5" t="s">
        <v>21</v>
      </c>
      <c r="B6" s="6"/>
      <c r="C6" s="7" t="s">
        <v>22</v>
      </c>
      <c r="D6" s="6">
        <v>4.0</v>
      </c>
      <c r="E6" s="8">
        <v>0.5246532226991085</v>
      </c>
      <c r="F6" s="8">
        <v>0.7913777581427395</v>
      </c>
      <c r="G6" s="8">
        <v>-0.037619600027251954</v>
      </c>
      <c r="H6" s="8">
        <v>0.7793701168308305</v>
      </c>
      <c r="I6" s="6"/>
      <c r="J6" s="5">
        <f t="shared" si="3"/>
        <v>12</v>
      </c>
      <c r="K6" s="6"/>
      <c r="L6" s="8">
        <f t="shared" ref="L6:O6" si="9">XLOOKUP($J6,$D$2:$D$18,E$2:E$18)</f>
        <v>-0.6197710205</v>
      </c>
      <c r="M6" s="8">
        <f t="shared" si="9"/>
        <v>-0.2047101176</v>
      </c>
      <c r="N6" s="8">
        <f t="shared" si="9"/>
        <v>-0.003752866067</v>
      </c>
      <c r="O6" s="8">
        <f t="shared" si="9"/>
        <v>-0.671209358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>
      <c r="A7" s="5" t="s">
        <v>23</v>
      </c>
      <c r="B7" s="6"/>
      <c r="C7" s="7" t="s">
        <v>10</v>
      </c>
      <c r="D7" s="6">
        <v>5.0</v>
      </c>
      <c r="E7" s="8">
        <v>-0.30913177984776685</v>
      </c>
      <c r="F7" s="8">
        <v>0.8899969615778665</v>
      </c>
      <c r="G7" s="8">
        <v>0.08155624091218727</v>
      </c>
      <c r="H7" s="8">
        <v>-0.9681670952106354</v>
      </c>
      <c r="I7" s="6"/>
      <c r="J7" s="5">
        <v>16.0</v>
      </c>
      <c r="K7" s="6"/>
      <c r="L7" s="8">
        <f t="shared" ref="L7:O7" si="10">XLOOKUP($J7,$D$2:$D$18,E$2:E$18)</f>
        <v>0</v>
      </c>
      <c r="M7" s="8">
        <f t="shared" si="10"/>
        <v>0</v>
      </c>
      <c r="N7" s="8">
        <f t="shared" si="10"/>
        <v>0</v>
      </c>
      <c r="O7" s="8">
        <f t="shared" si="10"/>
        <v>0</v>
      </c>
      <c r="P7" s="2"/>
      <c r="Q7" s="1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>
      <c r="B8" s="6"/>
      <c r="C8" s="7" t="s">
        <v>16</v>
      </c>
      <c r="D8" s="6">
        <v>6.0</v>
      </c>
      <c r="E8" s="8">
        <v>0.35815286178910655</v>
      </c>
      <c r="F8" s="8">
        <v>-0.716101240245381</v>
      </c>
      <c r="G8" s="8">
        <v>0.07712753250752424</v>
      </c>
      <c r="H8" s="8">
        <v>0.8271436173297337</v>
      </c>
      <c r="I8" s="6"/>
      <c r="J8" s="5">
        <v>0.0</v>
      </c>
      <c r="K8" s="6"/>
      <c r="L8" s="8">
        <f t="shared" ref="L8:O8" si="11">XLOOKUP($J8,$D$2:$D$18,E$2:E$18)</f>
        <v>0</v>
      </c>
      <c r="M8" s="8">
        <f t="shared" si="11"/>
        <v>0</v>
      </c>
      <c r="N8" s="8">
        <f t="shared" si="11"/>
        <v>0</v>
      </c>
      <c r="O8" s="8">
        <f t="shared" si="11"/>
        <v>0</v>
      </c>
      <c r="P8" s="2"/>
      <c r="Q8" s="1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>
      <c r="A9" s="12"/>
      <c r="B9" s="13"/>
      <c r="C9" s="14" t="s">
        <v>19</v>
      </c>
      <c r="D9" s="13">
        <v>7.0</v>
      </c>
      <c r="E9" s="8">
        <v>-0.21916725202029208</v>
      </c>
      <c r="F9" s="8">
        <v>0.7912369500185348</v>
      </c>
      <c r="G9" s="8">
        <v>-0.015805668760101366</v>
      </c>
      <c r="H9" s="8">
        <v>0.62140810343622</v>
      </c>
      <c r="I9" s="13"/>
      <c r="J9" s="13"/>
      <c r="K9" s="13"/>
      <c r="L9" s="13"/>
      <c r="M9" s="13"/>
      <c r="N9" s="13"/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" t="s">
        <v>7</v>
      </c>
      <c r="AE9" s="1" t="s">
        <v>8</v>
      </c>
      <c r="AF9" s="1" t="s">
        <v>9</v>
      </c>
      <c r="AH9" s="2"/>
      <c r="AI9" s="2"/>
      <c r="AJ9" s="2"/>
      <c r="AK9" s="2"/>
      <c r="AL9" s="2"/>
      <c r="AM9" s="2"/>
      <c r="AN9" s="2"/>
    </row>
    <row r="10">
      <c r="A10" s="5" t="s">
        <v>17</v>
      </c>
      <c r="B10" s="6"/>
      <c r="C10" s="7" t="s">
        <v>24</v>
      </c>
      <c r="D10" s="6">
        <v>8.0</v>
      </c>
      <c r="E10" s="8">
        <v>-0.4875215903723906</v>
      </c>
      <c r="F10" s="8">
        <v>-0.270721852637952</v>
      </c>
      <c r="G10" s="8">
        <v>-0.05897453140858766</v>
      </c>
      <c r="H10" s="8">
        <v>0.5267540986992532</v>
      </c>
      <c r="I10" s="6"/>
      <c r="J10" s="5">
        <f t="shared" ref="J10:J16" si="15">XLOOKUP(A10,$C$2:$C$17,$D$2:$D$17)</f>
        <v>2</v>
      </c>
      <c r="K10" s="6"/>
      <c r="L10" s="8">
        <f t="array" ref="L10">XLOOKUP($J10,$D$2:$D$18,E$2:E$18)</f>
        <v>-0.5883854293</v>
      </c>
      <c r="M10" s="8">
        <f t="shared" ref="M10:O10" si="12">XLOOKUP($J10,$D$2:$D$17,F$2:F$17)</f>
        <v>-0.9187100376</v>
      </c>
      <c r="N10" s="8">
        <f t="shared" si="12"/>
        <v>-0.8432984382</v>
      </c>
      <c r="O10" s="8">
        <f t="shared" si="12"/>
        <v>-0.5321372843</v>
      </c>
      <c r="P10" s="1">
        <v>6.0</v>
      </c>
      <c r="Q10" s="9">
        <f t="shared" ref="Q10:T10" si="13">SUM(L10:L16)/7</f>
        <v>-0.01169524535</v>
      </c>
      <c r="R10" s="9">
        <f t="shared" si="13"/>
        <v>-0.4333678688</v>
      </c>
      <c r="S10" s="9">
        <f t="shared" si="13"/>
        <v>-0.3092358332</v>
      </c>
      <c r="T10" s="9">
        <f t="shared" si="13"/>
        <v>0.02561672378</v>
      </c>
      <c r="U10" s="2"/>
      <c r="V10" s="2"/>
      <c r="W10" s="2"/>
      <c r="X10" s="2"/>
      <c r="Y10" s="2"/>
      <c r="Z10" s="2"/>
      <c r="AA10" s="2"/>
      <c r="AB10" s="2"/>
      <c r="AC10" s="2"/>
      <c r="AD10" s="10">
        <f t="array" ref="AD10:AD12">MMULT($W$2:$Z$4,TRANSPOSE(Q10:T10)) </f>
        <v>0.4082115951</v>
      </c>
      <c r="AE10" s="10">
        <f t="shared" ref="AE10:AF10" si="14">AD10+$AB2</f>
        <v>0.5370940861</v>
      </c>
      <c r="AF10" s="10">
        <f t="shared" si="14"/>
        <v>0.665976577</v>
      </c>
      <c r="AG10" s="11"/>
      <c r="AH10" s="2"/>
      <c r="AI10" s="2"/>
      <c r="AJ10" s="2"/>
      <c r="AK10" s="2"/>
      <c r="AL10" s="2"/>
      <c r="AM10" s="2"/>
      <c r="AN10" s="2"/>
    </row>
    <row r="11">
      <c r="A11" s="5" t="s">
        <v>25</v>
      </c>
      <c r="B11" s="6"/>
      <c r="C11" s="7" t="s">
        <v>13</v>
      </c>
      <c r="D11" s="6">
        <v>9.0</v>
      </c>
      <c r="E11" s="8">
        <v>-0.44892437264238483</v>
      </c>
      <c r="F11" s="8">
        <v>-0.8928918736104494</v>
      </c>
      <c r="G11" s="8">
        <v>0.3566590273912307</v>
      </c>
      <c r="H11" s="8">
        <v>-0.24000952200838443</v>
      </c>
      <c r="I11" s="6"/>
      <c r="J11" s="5">
        <f t="shared" si="15"/>
        <v>11</v>
      </c>
      <c r="K11" s="6"/>
      <c r="L11" s="8">
        <f t="shared" ref="L11:O11" si="16">XLOOKUP($J11,$D$2:$D$17,E$2:E$17)</f>
        <v>-0.9607451174</v>
      </c>
      <c r="M11" s="8">
        <f t="shared" si="16"/>
        <v>-0.4290717273</v>
      </c>
      <c r="N11" s="8">
        <f t="shared" si="16"/>
        <v>-0.4388742125</v>
      </c>
      <c r="O11" s="8">
        <f t="shared" si="16"/>
        <v>-0.952687259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0">
        <v>0.08851650986325961</v>
      </c>
      <c r="AE11" s="10">
        <f t="shared" ref="AE11:AF11" si="17">AD11+$AB3</f>
        <v>0.4072694589</v>
      </c>
      <c r="AF11" s="10">
        <f t="shared" si="17"/>
        <v>0.7260224079</v>
      </c>
      <c r="AG11" s="11"/>
      <c r="AH11" s="2"/>
      <c r="AI11" s="2"/>
      <c r="AJ11" s="2"/>
      <c r="AK11" s="2"/>
      <c r="AL11" s="2"/>
      <c r="AM11" s="2"/>
      <c r="AN11" s="2"/>
    </row>
    <row r="12">
      <c r="A12" s="5" t="s">
        <v>16</v>
      </c>
      <c r="B12" s="6"/>
      <c r="C12" s="7" t="s">
        <v>26</v>
      </c>
      <c r="D12" s="6">
        <v>10.0</v>
      </c>
      <c r="E12" s="8">
        <v>-0.26705618258221087</v>
      </c>
      <c r="F12" s="8">
        <v>0.08614887555866368</v>
      </c>
      <c r="G12" s="8">
        <v>-0.8777920860554911</v>
      </c>
      <c r="H12" s="8">
        <v>0.8680165244805382</v>
      </c>
      <c r="I12" s="6"/>
      <c r="J12" s="5">
        <f t="shared" si="15"/>
        <v>6</v>
      </c>
      <c r="K12" s="6"/>
      <c r="L12" s="8">
        <f t="shared" ref="L12:O12" si="18">XLOOKUP($J12,$D$2:$D$17,E$2:E$17)</f>
        <v>0.3581528618</v>
      </c>
      <c r="M12" s="8">
        <f t="shared" si="18"/>
        <v>-0.7161012402</v>
      </c>
      <c r="N12" s="8">
        <f t="shared" si="18"/>
        <v>0.07712753251</v>
      </c>
      <c r="O12" s="8">
        <f t="shared" si="18"/>
        <v>0.8271436173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0">
        <v>-0.1320590364843309</v>
      </c>
      <c r="AE12" s="10">
        <f t="shared" ref="AE12:AF12" si="19">AD12+$AB4</f>
        <v>-0.9543564838</v>
      </c>
      <c r="AF12" s="10">
        <f t="shared" si="19"/>
        <v>-1.776653931</v>
      </c>
      <c r="AG12" s="2"/>
      <c r="AH12" s="2"/>
      <c r="AI12" s="2"/>
      <c r="AJ12" s="2"/>
      <c r="AK12" s="2"/>
      <c r="AL12" s="2"/>
      <c r="AM12" s="2"/>
      <c r="AN12" s="2"/>
    </row>
    <row r="13">
      <c r="A13" s="5" t="s">
        <v>27</v>
      </c>
      <c r="B13" s="6"/>
      <c r="C13" s="7" t="s">
        <v>25</v>
      </c>
      <c r="D13" s="6">
        <v>11.0</v>
      </c>
      <c r="E13" s="8">
        <v>-0.9607451174231831</v>
      </c>
      <c r="F13" s="8">
        <v>-0.4290717273129496</v>
      </c>
      <c r="G13" s="8">
        <v>-0.43887421248301606</v>
      </c>
      <c r="H13" s="8">
        <v>-0.9526872590313846</v>
      </c>
      <c r="I13" s="6"/>
      <c r="J13" s="5">
        <f t="shared" si="15"/>
        <v>13</v>
      </c>
      <c r="K13" s="6"/>
      <c r="L13" s="8">
        <f t="shared" ref="L13:O13" si="20">XLOOKUP($J13,$D$2:$D$17,E$2:E$17)</f>
        <v>0.6216685651</v>
      </c>
      <c r="M13" s="8">
        <f t="shared" si="20"/>
        <v>-0.9694166982</v>
      </c>
      <c r="N13" s="8">
        <f t="shared" si="20"/>
        <v>-0.2302806113</v>
      </c>
      <c r="O13" s="8">
        <f t="shared" si="20"/>
        <v>-0.8913462575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>
      <c r="A14" s="5" t="s">
        <v>22</v>
      </c>
      <c r="B14" s="6"/>
      <c r="C14" s="7" t="s">
        <v>21</v>
      </c>
      <c r="D14" s="6">
        <v>12.0</v>
      </c>
      <c r="E14" s="8">
        <v>-0.619771020461154</v>
      </c>
      <c r="F14" s="8">
        <v>-0.20471011757108082</v>
      </c>
      <c r="G14" s="8">
        <v>-0.003752866066936811</v>
      </c>
      <c r="H14" s="8">
        <v>-0.671209357973841</v>
      </c>
      <c r="I14" s="6"/>
      <c r="J14" s="5">
        <f t="shared" si="15"/>
        <v>4</v>
      </c>
      <c r="K14" s="6"/>
      <c r="L14" s="8">
        <f t="shared" ref="L14:O14" si="21">XLOOKUP($J14,$D$2:$D$17,E$2:E$17)</f>
        <v>0.5246532227</v>
      </c>
      <c r="M14" s="8">
        <f t="shared" si="21"/>
        <v>0.7913777581</v>
      </c>
      <c r="N14" s="8">
        <f t="shared" si="21"/>
        <v>-0.03761960003</v>
      </c>
      <c r="O14" s="8">
        <f t="shared" si="21"/>
        <v>0.7793701168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1" t="s">
        <v>28</v>
      </c>
      <c r="AG14" s="2"/>
      <c r="AH14" s="2"/>
      <c r="AI14" s="2"/>
      <c r="AJ14" s="2"/>
      <c r="AK14" s="2"/>
      <c r="AL14" s="2"/>
      <c r="AM14" s="2"/>
      <c r="AN14" s="2"/>
    </row>
    <row r="15">
      <c r="A15" s="15" t="s">
        <v>29</v>
      </c>
      <c r="B15" s="16"/>
      <c r="C15" s="17" t="s">
        <v>27</v>
      </c>
      <c r="D15" s="16">
        <v>13.0</v>
      </c>
      <c r="E15" s="8">
        <v>0.6216685651295442</v>
      </c>
      <c r="F15" s="8">
        <v>-0.9694166982095462</v>
      </c>
      <c r="G15" s="8">
        <v>-0.23028061125215404</v>
      </c>
      <c r="H15" s="8">
        <v>-0.8913462575340743</v>
      </c>
      <c r="I15" s="16"/>
      <c r="J15" s="5">
        <f t="shared" si="15"/>
        <v>14</v>
      </c>
      <c r="K15" s="16"/>
      <c r="L15" s="8">
        <f t="shared" ref="L15:O15" si="22">XLOOKUP($J15,$D$2:$D$17,E$2:E$17)</f>
        <v>0.45031077</v>
      </c>
      <c r="M15" s="8">
        <f t="shared" si="22"/>
        <v>-0.5209312837</v>
      </c>
      <c r="N15" s="8">
        <f t="shared" si="22"/>
        <v>-0.6327309715</v>
      </c>
      <c r="O15" s="8">
        <f t="shared" si="22"/>
        <v>0.4222200345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>
      <c r="A16" s="15" t="s">
        <v>24</v>
      </c>
      <c r="B16" s="2"/>
      <c r="C16" s="18" t="s">
        <v>29</v>
      </c>
      <c r="D16" s="19">
        <v>14.0</v>
      </c>
      <c r="E16" s="8">
        <v>0.4503107700078641</v>
      </c>
      <c r="F16" s="8">
        <v>-0.5209312837068549</v>
      </c>
      <c r="G16" s="8">
        <v>-0.6327309715285245</v>
      </c>
      <c r="H16" s="8">
        <v>0.4222200345259939</v>
      </c>
      <c r="I16" s="2"/>
      <c r="J16" s="5">
        <f t="shared" si="15"/>
        <v>8</v>
      </c>
      <c r="K16" s="2"/>
      <c r="L16" s="8">
        <f t="shared" ref="L16:O16" si="23">XLOOKUP($J16,$D$2:$D$17,E$2:E$17)</f>
        <v>-0.4875215904</v>
      </c>
      <c r="M16" s="8">
        <f t="shared" si="23"/>
        <v>-0.2707218526</v>
      </c>
      <c r="N16" s="8">
        <f t="shared" si="23"/>
        <v>-0.05897453141</v>
      </c>
      <c r="O16" s="8">
        <f t="shared" si="23"/>
        <v>0.5267540987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>
      <c r="A17" s="15" t="s">
        <v>14</v>
      </c>
      <c r="B17" s="2"/>
      <c r="C17" s="18" t="s">
        <v>30</v>
      </c>
      <c r="D17" s="19">
        <v>15.0</v>
      </c>
      <c r="E17" s="8">
        <v>-0.09301446433486427</v>
      </c>
      <c r="F17" s="8">
        <v>-0.35389355358589736</v>
      </c>
      <c r="G17" s="8">
        <v>0.5760532426891551</v>
      </c>
      <c r="H17" s="8">
        <v>0.23330388976243954</v>
      </c>
      <c r="I17" s="2"/>
      <c r="J17" s="1" t="s">
        <v>31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>
      <c r="A18" s="15" t="s">
        <v>32</v>
      </c>
      <c r="B18" s="2"/>
      <c r="C18" s="1" t="s">
        <v>33</v>
      </c>
      <c r="D18" s="1">
        <v>16.0</v>
      </c>
      <c r="E18" s="8">
        <v>0.0</v>
      </c>
      <c r="F18" s="8">
        <v>0.0</v>
      </c>
      <c r="G18" s="8">
        <v>0.0</v>
      </c>
      <c r="H18" s="8">
        <v>0.0</v>
      </c>
      <c r="I18" s="2"/>
      <c r="J18" s="1" t="s">
        <v>31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" t="s">
        <v>34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3">
        <v>5.0</v>
      </c>
      <c r="K22" s="3">
        <v>9.0</v>
      </c>
      <c r="L22" s="3">
        <v>6.0</v>
      </c>
      <c r="M22" s="3">
        <v>7.0</v>
      </c>
      <c r="N22" s="3">
        <v>12.0</v>
      </c>
      <c r="O22" s="3">
        <v>16.0</v>
      </c>
      <c r="P22" s="3">
        <v>0.0</v>
      </c>
      <c r="Q22" s="2"/>
      <c r="R22" s="9">
        <v>-0.20647359386374853</v>
      </c>
      <c r="S22" s="9">
        <v>-0.022078219971751672</v>
      </c>
      <c r="T22" s="9">
        <v>0.08263071099731734</v>
      </c>
      <c r="U22" s="9">
        <v>-0.07180570907115118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3">
        <v>2.0</v>
      </c>
      <c r="K23" s="3">
        <v>11.0</v>
      </c>
      <c r="L23" s="3">
        <v>6.0</v>
      </c>
      <c r="M23" s="3">
        <v>13.0</v>
      </c>
      <c r="N23" s="3">
        <v>4.0</v>
      </c>
      <c r="O23" s="3">
        <v>14.0</v>
      </c>
      <c r="P23" s="3">
        <v>8.0</v>
      </c>
      <c r="Q23" s="2"/>
      <c r="R23" s="9">
        <v>-0.011695245351972654</v>
      </c>
      <c r="S23" s="9">
        <v>-0.4333678687993631</v>
      </c>
      <c r="T23" s="9">
        <v>-0.309235833202911</v>
      </c>
      <c r="U23" s="9">
        <v>0.025616723783894617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1" t="s">
        <v>35</v>
      </c>
      <c r="K24" s="1"/>
      <c r="L24" s="2"/>
      <c r="M24" s="2"/>
      <c r="N24" s="2"/>
      <c r="O24" s="2"/>
      <c r="P24" s="2"/>
      <c r="Q24" s="2"/>
      <c r="R24" s="1" t="s">
        <v>36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>
      <c r="A29" s="2"/>
      <c r="B29" s="2"/>
      <c r="C29" s="2"/>
      <c r="D29" s="2"/>
      <c r="E29" s="2"/>
      <c r="F29" s="2"/>
      <c r="G29" s="2"/>
      <c r="H29" s="2"/>
      <c r="I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>
      <c r="A30" s="2"/>
      <c r="B30" s="2"/>
      <c r="C30" s="2"/>
      <c r="D30" s="2"/>
      <c r="E30" s="2"/>
      <c r="F30" s="2"/>
      <c r="G30" s="2"/>
      <c r="H30" s="2"/>
      <c r="I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drawing r:id="rId1"/>
</worksheet>
</file>